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2C387BC0-52ED-4D09-A4DF-018CC6E0149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" i="1" l="1"/>
  <c r="Y17" i="1" l="1"/>
  <c r="AB17" i="1"/>
  <c r="Z17" i="1"/>
  <c r="AE17" i="1"/>
  <c r="AA17" i="1"/>
  <c r="D28" i="2"/>
  <c r="I23" i="1" l="1"/>
  <c r="I24" i="1" s="1"/>
  <c r="I25" i="1"/>
  <c r="B35" i="2"/>
  <c r="D11" i="2"/>
  <c r="C11" i="2" s="1"/>
  <c r="D44" i="2"/>
  <c r="C44" i="2" s="1"/>
  <c r="D45" i="2"/>
  <c r="C45" i="2" s="1"/>
  <c r="D46" i="2"/>
  <c r="C46" i="2" s="1"/>
  <c r="D47" i="2"/>
  <c r="C47" i="2" s="1"/>
  <c r="D48" i="2"/>
  <c r="C48" i="2" s="1"/>
  <c r="D49" i="2"/>
  <c r="C49" i="2" s="1"/>
  <c r="D50" i="2"/>
  <c r="C50" i="2" s="1"/>
  <c r="D51" i="2"/>
  <c r="C51" i="2" s="1"/>
  <c r="D52" i="2"/>
  <c r="C52" i="2" s="1"/>
  <c r="D53" i="2"/>
  <c r="B53" i="2" s="1"/>
  <c r="D54" i="2"/>
  <c r="B54" i="2" s="1"/>
  <c r="D55" i="2"/>
  <c r="C55" i="2" s="1"/>
  <c r="D43" i="2"/>
  <c r="C43" i="2" s="1"/>
  <c r="D12" i="2"/>
  <c r="C12" i="2" s="1"/>
  <c r="C28" i="2"/>
  <c r="D29" i="2"/>
  <c r="C29" i="2" s="1"/>
  <c r="D30" i="2"/>
  <c r="C30" i="2" s="1"/>
  <c r="D31" i="2"/>
  <c r="C31" i="2" s="1"/>
  <c r="D32" i="2"/>
  <c r="C32" i="2" s="1"/>
  <c r="D33" i="2"/>
  <c r="C33" i="2" s="1"/>
  <c r="D34" i="2"/>
  <c r="C34" i="2" s="1"/>
  <c r="D35" i="2"/>
  <c r="C35" i="2" s="1"/>
  <c r="D36" i="2"/>
  <c r="B36" i="2" s="1"/>
  <c r="D37" i="2"/>
  <c r="C37" i="2" s="1"/>
  <c r="D38" i="2"/>
  <c r="C38" i="2" s="1"/>
  <c r="D39" i="2"/>
  <c r="C39" i="2" s="1"/>
  <c r="D27" i="2"/>
  <c r="D13" i="2"/>
  <c r="C13" i="2" s="1"/>
  <c r="D14" i="2"/>
  <c r="C14" i="2" s="1"/>
  <c r="D15" i="2"/>
  <c r="C15" i="2" s="1"/>
  <c r="D16" i="2"/>
  <c r="C16" i="2" s="1"/>
  <c r="D17" i="2"/>
  <c r="C17" i="2" s="1"/>
  <c r="D18" i="2"/>
  <c r="B18" i="2" s="1"/>
  <c r="D19" i="2"/>
  <c r="C19" i="2" s="1"/>
  <c r="D20" i="2"/>
  <c r="C20" i="2" s="1"/>
  <c r="D21" i="2"/>
  <c r="C21" i="2" s="1"/>
  <c r="D22" i="2"/>
  <c r="C22" i="2" s="1"/>
  <c r="D23" i="2"/>
  <c r="C23" i="2" s="1"/>
  <c r="B17" i="2" l="1"/>
  <c r="C18" i="2"/>
  <c r="C36" i="2"/>
  <c r="C54" i="2"/>
  <c r="C27" i="2"/>
  <c r="B27" i="2"/>
  <c r="B16" i="2"/>
  <c r="B34" i="2"/>
  <c r="B52" i="2"/>
  <c r="C53" i="2"/>
  <c r="B15" i="2"/>
  <c r="B33" i="2"/>
  <c r="B51" i="2"/>
  <c r="B14" i="2"/>
  <c r="B32" i="2"/>
  <c r="B50" i="2"/>
  <c r="B13" i="2"/>
  <c r="B31" i="2"/>
  <c r="B49" i="2"/>
  <c r="B11" i="2"/>
  <c r="B12" i="2"/>
  <c r="B30" i="2"/>
  <c r="B48" i="2"/>
  <c r="B23" i="2"/>
  <c r="B29" i="2"/>
  <c r="B47" i="2"/>
  <c r="B22" i="2"/>
  <c r="B28" i="2"/>
  <c r="B46" i="2"/>
  <c r="B21" i="2"/>
  <c r="B39" i="2"/>
  <c r="B45" i="2"/>
  <c r="B20" i="2"/>
  <c r="B38" i="2"/>
  <c r="B43" i="2"/>
  <c r="B44" i="2"/>
  <c r="B19" i="2"/>
  <c r="B37" i="2"/>
  <c r="B55" i="2"/>
  <c r="AF17" i="1"/>
  <c r="AG17" i="1" s="1"/>
  <c r="AC17" i="1"/>
  <c r="AD17" i="1" s="1"/>
  <c r="V17" i="1" l="1"/>
  <c r="AF18" i="1" s="1"/>
  <c r="U17" i="1"/>
  <c r="T18" i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C23" i="1"/>
  <c r="C24" i="1" s="1"/>
  <c r="F23" i="1"/>
  <c r="F24" i="1" s="1"/>
  <c r="F25" i="1"/>
  <c r="Y18" i="1" l="1"/>
  <c r="AH17" i="1"/>
  <c r="W17" i="1" s="1"/>
  <c r="U18" i="1" s="1"/>
  <c r="AI17" i="1"/>
  <c r="X17" i="1" s="1"/>
  <c r="AC18" i="1"/>
  <c r="Z18" i="1"/>
  <c r="AE18" i="1"/>
  <c r="AG18" i="1" s="1"/>
  <c r="AB18" i="1"/>
  <c r="AD18" i="1" s="1"/>
  <c r="V18" i="1" l="1"/>
  <c r="AF19" i="1" s="1"/>
  <c r="X18" i="1"/>
  <c r="AB19" i="1"/>
  <c r="W18" i="1"/>
  <c r="AA18" i="1"/>
  <c r="AH18" i="1" s="1"/>
  <c r="W19" i="1" l="1"/>
  <c r="AI18" i="1"/>
  <c r="V19" i="1" s="1"/>
  <c r="AF20" i="1" s="1"/>
  <c r="U19" i="1"/>
  <c r="X19" i="1" l="1"/>
  <c r="Y19" i="1"/>
  <c r="Z19" i="1"/>
  <c r="AC19" i="1"/>
  <c r="AD19" i="1" s="1"/>
  <c r="AE19" i="1"/>
  <c r="AG19" i="1" s="1"/>
  <c r="Y20" i="1" l="1"/>
  <c r="AA19" i="1"/>
  <c r="AH19" i="1" s="1"/>
  <c r="AC20" i="1"/>
  <c r="Z20" i="1"/>
  <c r="AB20" i="1"/>
  <c r="AE20" i="1"/>
  <c r="AI19" i="1" l="1"/>
  <c r="V20" i="1" s="1"/>
  <c r="AF21" i="1" s="1"/>
  <c r="AG20" i="1"/>
  <c r="W20" i="1"/>
  <c r="AD20" i="1"/>
  <c r="AA20" i="1"/>
  <c r="AH20" i="1" l="1"/>
  <c r="AI20" i="1"/>
  <c r="U20" i="1"/>
  <c r="Y21" i="1" s="1"/>
  <c r="X20" i="1"/>
  <c r="U21" i="1" l="1"/>
  <c r="Y22" i="1" s="1"/>
  <c r="V21" i="1"/>
  <c r="AF22" i="1" s="1"/>
  <c r="W21" i="1"/>
  <c r="AB21" i="1"/>
  <c r="AE21" i="1"/>
  <c r="X21" i="1"/>
  <c r="AC21" i="1"/>
  <c r="Z21" i="1"/>
  <c r="AG21" i="1" l="1"/>
  <c r="AD21" i="1"/>
  <c r="AE22" i="1"/>
  <c r="AG22" i="1" s="1"/>
  <c r="AB22" i="1"/>
  <c r="AC22" i="1"/>
  <c r="Z22" i="1"/>
  <c r="AA21" i="1"/>
  <c r="AI21" i="1" l="1"/>
  <c r="V22" i="1" s="1"/>
  <c r="AF23" i="1" s="1"/>
  <c r="AH21" i="1"/>
  <c r="W22" i="1" s="1"/>
  <c r="AA22" i="1"/>
  <c r="AD22" i="1"/>
  <c r="AI22" i="1" l="1"/>
  <c r="AH22" i="1"/>
  <c r="U22" i="1"/>
  <c r="AE23" i="1" s="1"/>
  <c r="X22" i="1"/>
  <c r="AG23" i="1" l="1"/>
  <c r="V23" i="1"/>
  <c r="AF24" i="1" s="1"/>
  <c r="W23" i="1"/>
  <c r="X23" i="1"/>
  <c r="U23" i="1"/>
  <c r="AB24" i="1" s="1"/>
  <c r="Y23" i="1"/>
  <c r="AB23" i="1"/>
  <c r="AC23" i="1"/>
  <c r="Z23" i="1"/>
  <c r="AC24" i="1" l="1"/>
  <c r="AD24" i="1" s="1"/>
  <c r="Z24" i="1"/>
  <c r="AE24" i="1"/>
  <c r="AG24" i="1" s="1"/>
  <c r="AA23" i="1"/>
  <c r="AD23" i="1"/>
  <c r="Y24" i="1"/>
  <c r="AH23" i="1" l="1"/>
  <c r="W24" i="1" s="1"/>
  <c r="AI23" i="1"/>
  <c r="AA24" i="1"/>
  <c r="AI24" i="1" s="1"/>
  <c r="AH24" i="1" l="1"/>
  <c r="W25" i="1" s="1"/>
  <c r="X24" i="1"/>
  <c r="X25" i="1" s="1"/>
  <c r="V24" i="1"/>
  <c r="AF25" i="1" s="1"/>
  <c r="U24" i="1"/>
  <c r="AB25" i="1" s="1"/>
  <c r="V25" i="1" l="1"/>
  <c r="AF26" i="1" s="1"/>
  <c r="AC25" i="1"/>
  <c r="AD25" i="1" s="1"/>
  <c r="Z25" i="1"/>
  <c r="AE25" i="1"/>
  <c r="AG25" i="1" s="1"/>
  <c r="U25" i="1"/>
  <c r="AE26" i="1" s="1"/>
  <c r="Y25" i="1"/>
  <c r="AC26" i="1" l="1"/>
  <c r="AG26" i="1"/>
  <c r="Z26" i="1"/>
  <c r="AA25" i="1"/>
  <c r="AI25" i="1" s="1"/>
  <c r="Y26" i="1"/>
  <c r="AB26" i="1"/>
  <c r="AD26" i="1" l="1"/>
  <c r="V26" i="1"/>
  <c r="AF27" i="1" s="1"/>
  <c r="AH25" i="1"/>
  <c r="W26" i="1" s="1"/>
  <c r="AA26" i="1"/>
  <c r="AH26" i="1" s="1"/>
  <c r="X26" i="1"/>
  <c r="AI26" i="1" l="1"/>
  <c r="V27" i="1" s="1"/>
  <c r="AF28" i="1" s="1"/>
  <c r="W27" i="1"/>
  <c r="U26" i="1"/>
  <c r="U27" i="1" s="1"/>
  <c r="AB28" i="1" s="1"/>
  <c r="AC27" i="1"/>
  <c r="Z27" i="1"/>
  <c r="Y27" i="1" l="1"/>
  <c r="X27" i="1"/>
  <c r="AE27" i="1"/>
  <c r="AG27" i="1" s="1"/>
  <c r="AB27" i="1"/>
  <c r="AD27" i="1" s="1"/>
  <c r="Y28" i="1"/>
  <c r="AE28" i="1"/>
  <c r="AC28" i="1"/>
  <c r="AD28" i="1" s="1"/>
  <c r="Z28" i="1"/>
  <c r="AG28" i="1" l="1"/>
  <c r="AA27" i="1"/>
  <c r="AA28" i="1"/>
  <c r="AI28" i="1" s="1"/>
  <c r="AI27" i="1" l="1"/>
  <c r="V28" i="1" s="1"/>
  <c r="AF29" i="1" s="1"/>
  <c r="AH27" i="1"/>
  <c r="W28" i="1" s="1"/>
  <c r="AH28" i="1"/>
  <c r="W29" i="1" l="1"/>
  <c r="X28" i="1"/>
  <c r="X29" i="1" s="1"/>
  <c r="U28" i="1"/>
  <c r="AB29" i="1" s="1"/>
  <c r="AC29" i="1"/>
  <c r="Z29" i="1"/>
  <c r="V29" i="1" l="1"/>
  <c r="AF30" i="1" s="1"/>
  <c r="AE29" i="1"/>
  <c r="AG29" i="1" s="1"/>
  <c r="Y29" i="1"/>
  <c r="AD29" i="1"/>
  <c r="U29" i="1"/>
  <c r="AE30" i="1" s="1"/>
  <c r="AC30" i="1" l="1"/>
  <c r="Y30" i="1"/>
  <c r="AB30" i="1"/>
  <c r="AG30" i="1"/>
  <c r="Z30" i="1"/>
  <c r="AA29" i="1"/>
  <c r="AD30" i="1" l="1"/>
  <c r="AA30" i="1"/>
  <c r="AI30" i="1" s="1"/>
  <c r="AI29" i="1"/>
  <c r="V30" i="1" s="1"/>
  <c r="AF31" i="1" s="1"/>
  <c r="AH30" i="1"/>
  <c r="AH29" i="1"/>
  <c r="W30" i="1" s="1"/>
  <c r="W31" i="1" l="1"/>
  <c r="AC31" i="1"/>
  <c r="Z31" i="1"/>
  <c r="X30" i="1"/>
  <c r="X31" i="1" s="1"/>
  <c r="U30" i="1"/>
  <c r="AE31" i="1" s="1"/>
  <c r="AG31" i="1" s="1"/>
  <c r="V31" i="1" l="1"/>
  <c r="AF32" i="1" s="1"/>
  <c r="U31" i="1"/>
  <c r="AE32" i="1" s="1"/>
  <c r="Y31" i="1"/>
  <c r="AB31" i="1"/>
  <c r="AD31" i="1" s="1"/>
  <c r="AG32" i="1" l="1"/>
  <c r="AC32" i="1"/>
  <c r="Z32" i="1"/>
  <c r="AB32" i="1"/>
  <c r="Y32" i="1"/>
  <c r="AA32" i="1" s="1"/>
  <c r="AA31" i="1"/>
  <c r="AD32" i="1" l="1"/>
  <c r="AH32" i="1" s="1"/>
  <c r="AI31" i="1"/>
  <c r="X32" i="1" s="1"/>
  <c r="AH31" i="1"/>
  <c r="AI32" i="1" l="1"/>
  <c r="X33" i="1" s="1"/>
  <c r="V32" i="1"/>
  <c r="AF33" i="1" s="1"/>
  <c r="W32" i="1"/>
  <c r="W33" i="1" s="1"/>
  <c r="U32" i="1"/>
  <c r="V33" i="1" l="1"/>
  <c r="AF34" i="1" s="1"/>
  <c r="Z33" i="1"/>
  <c r="AC33" i="1"/>
  <c r="AB33" i="1"/>
  <c r="Y33" i="1"/>
  <c r="AE33" i="1"/>
  <c r="AG33" i="1" s="1"/>
  <c r="U33" i="1"/>
  <c r="AD33" i="1" l="1"/>
  <c r="AC34" i="1"/>
  <c r="Z34" i="1"/>
  <c r="AA33" i="1"/>
  <c r="AB34" i="1"/>
  <c r="AE34" i="1"/>
  <c r="AG34" i="1" s="1"/>
  <c r="Y34" i="1"/>
  <c r="AD34" i="1" l="1"/>
  <c r="AH33" i="1"/>
  <c r="W34" i="1" s="1"/>
  <c r="AI33" i="1"/>
  <c r="V34" i="1" s="1"/>
  <c r="AF35" i="1" s="1"/>
  <c r="AA34" i="1"/>
  <c r="AI34" i="1" s="1"/>
  <c r="AC35" i="1" l="1"/>
  <c r="Z35" i="1"/>
  <c r="AH34" i="1"/>
  <c r="W35" i="1" s="1"/>
  <c r="X34" i="1"/>
  <c r="V35" i="1" s="1"/>
  <c r="AF36" i="1" s="1"/>
  <c r="U34" i="1"/>
  <c r="X35" i="1" l="1"/>
  <c r="AC36" i="1"/>
  <c r="Z36" i="1"/>
  <c r="U35" i="1"/>
  <c r="AB35" i="1"/>
  <c r="AD35" i="1" s="1"/>
  <c r="Y35" i="1"/>
  <c r="AA35" i="1" s="1"/>
  <c r="AE35" i="1"/>
  <c r="AG35" i="1" s="1"/>
  <c r="AH35" i="1" l="1"/>
  <c r="W36" i="1" s="1"/>
  <c r="AI35" i="1"/>
  <c r="V36" i="1" s="1"/>
  <c r="AF37" i="1" s="1"/>
  <c r="Y36" i="1"/>
  <c r="AA36" i="1" s="1"/>
  <c r="AB36" i="1"/>
  <c r="AD36" i="1" s="1"/>
  <c r="AE36" i="1"/>
  <c r="AG36" i="1" s="1"/>
  <c r="U36" i="1" l="1"/>
  <c r="AE37" i="1" s="1"/>
  <c r="AG37" i="1" s="1"/>
  <c r="X36" i="1"/>
  <c r="AH36" i="1"/>
  <c r="W37" i="1" s="1"/>
  <c r="AI36" i="1"/>
  <c r="Z37" i="1"/>
  <c r="AC37" i="1"/>
  <c r="X37" i="1" l="1"/>
  <c r="AB37" i="1"/>
  <c r="AD37" i="1" s="1"/>
  <c r="Y37" i="1"/>
  <c r="U37" i="1"/>
  <c r="AE38" i="1" s="1"/>
  <c r="V37" i="1"/>
  <c r="AF38" i="1" s="1"/>
  <c r="AA37" i="1"/>
  <c r="Z38" i="1" l="1"/>
  <c r="AG38" i="1"/>
  <c r="AH37" i="1"/>
  <c r="W38" i="1" s="1"/>
  <c r="Y38" i="1"/>
  <c r="AB38" i="1"/>
  <c r="AC38" i="1"/>
  <c r="AI37" i="1"/>
  <c r="X38" i="1" s="1"/>
  <c r="AD38" i="1" l="1"/>
  <c r="AA38" i="1"/>
  <c r="V38" i="1"/>
  <c r="AF39" i="1" s="1"/>
  <c r="U38" i="1"/>
  <c r="AI38" i="1" l="1"/>
  <c r="X39" i="1" s="1"/>
  <c r="AH38" i="1"/>
  <c r="W39" i="1" s="1"/>
  <c r="Z39" i="1"/>
  <c r="AC39" i="1"/>
  <c r="Y39" i="1"/>
  <c r="AE39" i="1"/>
  <c r="AG39" i="1" s="1"/>
  <c r="AB39" i="1"/>
  <c r="V39" i="1" l="1"/>
  <c r="AF40" i="1" s="1"/>
  <c r="U39" i="1"/>
  <c r="AA39" i="1"/>
  <c r="AD39" i="1"/>
  <c r="AE40" i="1"/>
  <c r="AG40" i="1" s="1"/>
  <c r="Y40" i="1"/>
  <c r="AB40" i="1"/>
  <c r="AC40" i="1"/>
  <c r="Z40" i="1"/>
  <c r="AH39" i="1" l="1"/>
  <c r="W40" i="1" s="1"/>
  <c r="AI39" i="1"/>
  <c r="V40" i="1" s="1"/>
  <c r="AF41" i="1" s="1"/>
  <c r="AD40" i="1"/>
  <c r="AA40" i="1"/>
  <c r="AH40" i="1" s="1"/>
  <c r="AI40" i="1" l="1"/>
  <c r="W41" i="1"/>
  <c r="U40" i="1"/>
  <c r="X40" i="1"/>
  <c r="X41" i="1" l="1"/>
  <c r="V41" i="1"/>
  <c r="AF42" i="1" s="1"/>
  <c r="U41" i="1"/>
  <c r="Z41" i="1"/>
  <c r="AC41" i="1"/>
  <c r="Y41" i="1"/>
  <c r="AB41" i="1"/>
  <c r="AE41" i="1"/>
  <c r="AG41" i="1" s="1"/>
  <c r="AD41" i="1" l="1"/>
  <c r="AA41" i="1"/>
  <c r="Z42" i="1"/>
  <c r="AC42" i="1"/>
  <c r="AE42" i="1"/>
  <c r="AG42" i="1" s="1"/>
  <c r="Y42" i="1"/>
  <c r="AB42" i="1"/>
  <c r="AH41" i="1" l="1"/>
  <c r="W42" i="1" s="1"/>
  <c r="AI41" i="1"/>
  <c r="AD42" i="1"/>
  <c r="AA42" i="1"/>
  <c r="AH42" i="1" l="1"/>
  <c r="W43" i="1" s="1"/>
  <c r="AI42" i="1"/>
  <c r="U42" i="1"/>
  <c r="X42" i="1"/>
  <c r="V42" i="1"/>
  <c r="AF43" i="1" s="1"/>
  <c r="AC43" i="1" l="1"/>
  <c r="Z43" i="1"/>
  <c r="X43" i="1"/>
  <c r="U43" i="1"/>
  <c r="V43" i="1"/>
  <c r="AF44" i="1" s="1"/>
  <c r="Y43" i="1"/>
  <c r="AB43" i="1"/>
  <c r="AE43" i="1"/>
  <c r="AG43" i="1" s="1"/>
  <c r="AD43" i="1" l="1"/>
  <c r="AC44" i="1"/>
  <c r="Z44" i="1"/>
  <c r="Y44" i="1"/>
  <c r="AB44" i="1"/>
  <c r="AE44" i="1"/>
  <c r="AG44" i="1" s="1"/>
  <c r="AA43" i="1"/>
  <c r="AI43" i="1" l="1"/>
  <c r="V44" i="1" s="1"/>
  <c r="AF45" i="1" s="1"/>
  <c r="AH43" i="1"/>
  <c r="W44" i="1" s="1"/>
  <c r="AA44" i="1"/>
  <c r="AD44" i="1"/>
  <c r="AH44" i="1" l="1"/>
  <c r="W45" i="1" s="1"/>
  <c r="AI44" i="1"/>
  <c r="U44" i="1"/>
  <c r="X44" i="1"/>
  <c r="X45" i="1" l="1"/>
  <c r="V45" i="1"/>
  <c r="AF46" i="1" s="1"/>
  <c r="U45" i="1"/>
  <c r="AE45" i="1"/>
  <c r="Y45" i="1"/>
  <c r="AB45" i="1"/>
  <c r="AC45" i="1"/>
  <c r="Z45" i="1"/>
  <c r="AG45" i="1" l="1"/>
  <c r="AD45" i="1"/>
  <c r="AB46" i="1"/>
  <c r="AE46" i="1"/>
  <c r="Y46" i="1"/>
  <c r="Z46" i="1"/>
  <c r="AC46" i="1"/>
  <c r="AD46" i="1" s="1"/>
  <c r="AA45" i="1"/>
  <c r="AH45" i="1" l="1"/>
  <c r="W46" i="1" s="1"/>
  <c r="AG46" i="1"/>
  <c r="AI45" i="1"/>
  <c r="V46" i="1" s="1"/>
  <c r="AF47" i="1" s="1"/>
  <c r="AA46" i="1"/>
  <c r="AH46" i="1" s="1"/>
  <c r="AI46" i="1" l="1"/>
  <c r="W47" i="1"/>
  <c r="U46" i="1"/>
  <c r="AE47" i="1" s="1"/>
  <c r="X46" i="1"/>
  <c r="X47" i="1" l="1"/>
  <c r="V47" i="1"/>
  <c r="AF48" i="1" s="1"/>
  <c r="U47" i="1"/>
  <c r="AB48" i="1" s="1"/>
  <c r="AB47" i="1"/>
  <c r="Y47" i="1"/>
  <c r="AC47" i="1"/>
  <c r="AG47" i="1"/>
  <c r="Z47" i="1"/>
  <c r="AD47" i="1" l="1"/>
  <c r="Y48" i="1"/>
  <c r="AE48" i="1"/>
  <c r="AG48" i="1" s="1"/>
  <c r="Z48" i="1"/>
  <c r="AC48" i="1"/>
  <c r="AD48" i="1" s="1"/>
  <c r="AA47" i="1"/>
  <c r="AI47" i="1" s="1"/>
  <c r="AH47" i="1" l="1"/>
  <c r="W48" i="1" s="1"/>
  <c r="V48" i="1"/>
  <c r="AF49" i="1" s="1"/>
  <c r="AA48" i="1"/>
  <c r="AI48" i="1" s="1"/>
  <c r="AH48" i="1" l="1"/>
  <c r="W49" i="1" s="1"/>
  <c r="U48" i="1"/>
  <c r="X48" i="1"/>
  <c r="V49" i="1" s="1"/>
  <c r="AF50" i="1" s="1"/>
  <c r="X49" i="1" l="1"/>
  <c r="U49" i="1"/>
  <c r="Z49" i="1"/>
  <c r="AC49" i="1"/>
  <c r="Y49" i="1"/>
  <c r="AE49" i="1"/>
  <c r="AG49" i="1" s="1"/>
  <c r="AB49" i="1"/>
  <c r="Y50" i="1" l="1"/>
  <c r="AE50" i="1"/>
  <c r="AB50" i="1"/>
  <c r="AD49" i="1"/>
  <c r="AC50" i="1"/>
  <c r="Z50" i="1"/>
  <c r="AA49" i="1"/>
  <c r="AH49" i="1" s="1"/>
  <c r="AD50" i="1" l="1"/>
  <c r="AG50" i="1"/>
  <c r="AI49" i="1"/>
  <c r="V50" i="1" s="1"/>
  <c r="AF51" i="1" s="1"/>
  <c r="W50" i="1"/>
  <c r="AA50" i="1"/>
  <c r="AH50" i="1" s="1"/>
  <c r="AI50" i="1" l="1"/>
  <c r="W51" i="1"/>
  <c r="U50" i="1"/>
  <c r="AB51" i="1" s="1"/>
  <c r="X50" i="1"/>
  <c r="X51" i="1" l="1"/>
  <c r="Y51" i="1"/>
  <c r="AE51" i="1"/>
  <c r="V51" i="1"/>
  <c r="AF52" i="1" s="1"/>
  <c r="U51" i="1"/>
  <c r="AB52" i="1" s="1"/>
  <c r="AC51" i="1"/>
  <c r="AD51" i="1" s="1"/>
  <c r="Z51" i="1"/>
  <c r="AG51" i="1" l="1"/>
  <c r="AE52" i="1"/>
  <c r="Y52" i="1"/>
  <c r="AA51" i="1"/>
  <c r="Z52" i="1"/>
  <c r="AC52" i="1"/>
  <c r="AD52" i="1" s="1"/>
  <c r="AI51" i="1" l="1"/>
  <c r="X52" i="1" s="1"/>
  <c r="AG52" i="1"/>
  <c r="AH51" i="1"/>
  <c r="W52" i="1" s="1"/>
  <c r="AA52" i="1"/>
  <c r="AH52" i="1" s="1"/>
  <c r="V52" i="1" l="1"/>
  <c r="AF53" i="1" s="1"/>
  <c r="AI52" i="1"/>
  <c r="X53" i="1" s="1"/>
  <c r="U52" i="1"/>
  <c r="W53" i="1"/>
  <c r="V53" i="1" l="1"/>
  <c r="AF54" i="1" s="1"/>
  <c r="U53" i="1"/>
  <c r="Z53" i="1"/>
  <c r="AC53" i="1"/>
  <c r="AE53" i="1"/>
  <c r="AB53" i="1"/>
  <c r="Y53" i="1"/>
  <c r="AG53" i="1" l="1"/>
  <c r="AD53" i="1"/>
  <c r="Z54" i="1"/>
  <c r="AC54" i="1"/>
  <c r="AB54" i="1"/>
  <c r="Y54" i="1"/>
  <c r="AE54" i="1"/>
  <c r="AG54" i="1" s="1"/>
  <c r="AA53" i="1"/>
  <c r="AH53" i="1" s="1"/>
  <c r="AD54" i="1" l="1"/>
  <c r="AI53" i="1"/>
  <c r="V54" i="1" s="1"/>
  <c r="AF55" i="1" s="1"/>
  <c r="W54" i="1"/>
  <c r="AA54" i="1"/>
  <c r="AI54" i="1" s="1"/>
  <c r="AH54" i="1" l="1"/>
  <c r="W55" i="1" s="1"/>
  <c r="U54" i="1"/>
  <c r="X54" i="1"/>
  <c r="V55" i="1" s="1"/>
  <c r="AF56" i="1" s="1"/>
  <c r="X55" i="1" l="1"/>
  <c r="U55" i="1"/>
  <c r="Z55" i="1"/>
  <c r="AC55" i="1"/>
  <c r="AE55" i="1"/>
  <c r="AG55" i="1" s="1"/>
  <c r="AB55" i="1"/>
  <c r="AD55" i="1" s="1"/>
  <c r="Y55" i="1"/>
  <c r="AA55" i="1" l="1"/>
  <c r="AH55" i="1" s="1"/>
  <c r="Z56" i="1"/>
  <c r="AC56" i="1"/>
  <c r="AE56" i="1"/>
  <c r="AG56" i="1" s="1"/>
  <c r="AB56" i="1"/>
  <c r="Y56" i="1"/>
  <c r="AD56" i="1" l="1"/>
  <c r="AI55" i="1"/>
  <c r="X56" i="1" s="1"/>
  <c r="W56" i="1"/>
  <c r="AA56" i="1"/>
  <c r="AH56" i="1" s="1"/>
  <c r="AI56" i="1" l="1"/>
  <c r="X57" i="1" s="1"/>
  <c r="U56" i="1"/>
  <c r="V56" i="1"/>
  <c r="AF57" i="1" s="1"/>
  <c r="W57" i="1"/>
  <c r="AC57" i="1" l="1"/>
  <c r="V57" i="1"/>
  <c r="AF58" i="1" s="1"/>
  <c r="Z57" i="1"/>
  <c r="U57" i="1"/>
  <c r="AE57" i="1"/>
  <c r="AG57" i="1" s="1"/>
  <c r="AB57" i="1"/>
  <c r="Y57" i="1"/>
  <c r="Z58" i="1"/>
  <c r="AD57" i="1" l="1"/>
  <c r="AC58" i="1"/>
  <c r="AB58" i="1"/>
  <c r="Y58" i="1"/>
  <c r="AE58" i="1"/>
  <c r="AG58" i="1" s="1"/>
  <c r="AA57" i="1"/>
  <c r="AH57" i="1" l="1"/>
  <c r="W58" i="1" s="1"/>
  <c r="AD58" i="1"/>
  <c r="AI57" i="1"/>
  <c r="V58" i="1" s="1"/>
  <c r="AF59" i="1" s="1"/>
  <c r="AA58" i="1"/>
  <c r="AI58" i="1" s="1"/>
  <c r="AH58" i="1" l="1"/>
  <c r="W59" i="1" s="1"/>
  <c r="U58" i="1"/>
  <c r="X58" i="1"/>
  <c r="V59" i="1" s="1"/>
  <c r="AF60" i="1" s="1"/>
  <c r="X59" i="1" l="1"/>
  <c r="U59" i="1"/>
  <c r="AC59" i="1"/>
  <c r="Z59" i="1"/>
  <c r="AE59" i="1"/>
  <c r="AG59" i="1" s="1"/>
  <c r="AB59" i="1"/>
  <c r="AD59" i="1" s="1"/>
  <c r="Y59" i="1"/>
  <c r="AA59" i="1" l="1"/>
  <c r="AH59" i="1" s="1"/>
  <c r="AE60" i="1"/>
  <c r="AB60" i="1"/>
  <c r="Y60" i="1"/>
  <c r="Z60" i="1"/>
  <c r="AC60" i="1"/>
  <c r="AG60" i="1" l="1"/>
  <c r="AI59" i="1"/>
  <c r="V60" i="1" s="1"/>
  <c r="AF61" i="1" s="1"/>
  <c r="W60" i="1"/>
  <c r="AD60" i="1"/>
  <c r="AA60" i="1"/>
  <c r="AI60" i="1" l="1"/>
  <c r="AH60" i="1"/>
  <c r="W61" i="1" s="1"/>
  <c r="U60" i="1"/>
  <c r="X60" i="1"/>
  <c r="AC61" i="1"/>
  <c r="Z61" i="1"/>
  <c r="V61" i="1" l="1"/>
  <c r="AF62" i="1" s="1"/>
  <c r="X61" i="1"/>
  <c r="U61" i="1"/>
  <c r="Y62" i="1" s="1"/>
  <c r="AE61" i="1"/>
  <c r="AG61" i="1" s="1"/>
  <c r="Y61" i="1"/>
  <c r="AB61" i="1"/>
  <c r="AD61" i="1" s="1"/>
  <c r="AA61" i="1"/>
  <c r="AI61" i="1" l="1"/>
  <c r="AE62" i="1"/>
  <c r="AG62" i="1" s="1"/>
  <c r="AC62" i="1"/>
  <c r="AB62" i="1"/>
  <c r="AD62" i="1" s="1"/>
  <c r="Z62" i="1"/>
  <c r="AH61" i="1"/>
  <c r="AA62" i="1"/>
  <c r="AH62" i="1" l="1"/>
  <c r="AI62" i="1"/>
  <c r="U62" i="1"/>
  <c r="W62" i="1"/>
  <c r="X62" i="1"/>
  <c r="V62" i="1"/>
  <c r="AF63" i="1" s="1"/>
  <c r="AC63" i="1" l="1"/>
  <c r="X63" i="1"/>
  <c r="Z63" i="1"/>
  <c r="W63" i="1"/>
  <c r="V63" i="1"/>
  <c r="AF64" i="1" s="1"/>
  <c r="U63" i="1"/>
  <c r="AE63" i="1"/>
  <c r="AG63" i="1" s="1"/>
  <c r="AB63" i="1"/>
  <c r="Y63" i="1"/>
  <c r="AD63" i="1" l="1"/>
  <c r="AC64" i="1"/>
  <c r="Z64" i="1"/>
  <c r="AE64" i="1"/>
  <c r="AG64" i="1" s="1"/>
  <c r="Y64" i="1"/>
  <c r="AB64" i="1"/>
  <c r="AD64" i="1" s="1"/>
  <c r="AA63" i="1"/>
  <c r="AH63" i="1" l="1"/>
  <c r="W64" i="1" s="1"/>
  <c r="AI63" i="1"/>
  <c r="V64" i="1" s="1"/>
  <c r="AF65" i="1" s="1"/>
  <c r="AA64" i="1"/>
  <c r="AH64" i="1" s="1"/>
  <c r="AI64" i="1" l="1"/>
  <c r="U64" i="1"/>
  <c r="W65" i="1"/>
  <c r="X64" i="1"/>
  <c r="X65" i="1" l="1"/>
  <c r="U65" i="1"/>
  <c r="V65" i="1"/>
  <c r="AF66" i="1" s="1"/>
  <c r="AC65" i="1"/>
  <c r="Z65" i="1"/>
  <c r="AE65" i="1"/>
  <c r="AG65" i="1" s="1"/>
  <c r="Y65" i="1"/>
  <c r="AB65" i="1"/>
  <c r="AD65" i="1" s="1"/>
  <c r="Z66" i="1" l="1"/>
  <c r="AC66" i="1"/>
  <c r="AB66" i="1"/>
  <c r="AD66" i="1" s="1"/>
  <c r="AE66" i="1"/>
  <c r="AG66" i="1" s="1"/>
  <c r="Y66" i="1"/>
  <c r="AA65" i="1"/>
  <c r="AH65" i="1" s="1"/>
  <c r="AI65" i="1" l="1"/>
  <c r="V66" i="1" s="1"/>
  <c r="AF67" i="1" s="1"/>
  <c r="W66" i="1"/>
  <c r="AA66" i="1"/>
  <c r="AI66" i="1" s="1"/>
  <c r="AH66" i="1" l="1"/>
  <c r="W67" i="1" s="1"/>
  <c r="U66" i="1"/>
  <c r="X66" i="1"/>
  <c r="V67" i="1" s="1"/>
  <c r="AF68" i="1" s="1"/>
  <c r="X67" i="1" l="1"/>
  <c r="U67" i="1"/>
  <c r="Z67" i="1"/>
  <c r="AC67" i="1"/>
  <c r="AE67" i="1"/>
  <c r="AG67" i="1" s="1"/>
  <c r="AB67" i="1"/>
  <c r="AD67" i="1" s="1"/>
  <c r="Y67" i="1"/>
  <c r="Z68" i="1" l="1"/>
  <c r="AC68" i="1"/>
  <c r="Y68" i="1"/>
  <c r="AB68" i="1"/>
  <c r="AE68" i="1"/>
  <c r="AG68" i="1" s="1"/>
  <c r="AA67" i="1"/>
  <c r="AH67" i="1" s="1"/>
  <c r="AD68" i="1" l="1"/>
  <c r="AI67" i="1"/>
  <c r="V68" i="1" s="1"/>
  <c r="AF69" i="1" s="1"/>
  <c r="W68" i="1"/>
  <c r="AA68" i="1"/>
  <c r="AH68" i="1" s="1"/>
  <c r="AI68" i="1" l="1"/>
  <c r="W69" i="1"/>
  <c r="U68" i="1"/>
  <c r="Y69" i="1" s="1"/>
  <c r="X68" i="1"/>
  <c r="X69" i="1" l="1"/>
  <c r="AB69" i="1"/>
  <c r="AE69" i="1"/>
  <c r="V69" i="1"/>
  <c r="AF70" i="1" s="1"/>
  <c r="U69" i="1"/>
  <c r="Y70" i="1" s="1"/>
  <c r="Z69" i="1"/>
  <c r="AA69" i="1" s="1"/>
  <c r="AC69" i="1"/>
  <c r="AD69" i="1" l="1"/>
  <c r="AG69" i="1"/>
  <c r="AB70" i="1"/>
  <c r="AE70" i="1"/>
  <c r="Z70" i="1"/>
  <c r="AC70" i="1"/>
  <c r="AH69" i="1" l="1"/>
  <c r="W70" i="1" s="1"/>
  <c r="AI69" i="1"/>
  <c r="X70" i="1" s="1"/>
  <c r="AD70" i="1"/>
  <c r="AG70" i="1"/>
  <c r="AA70" i="1"/>
  <c r="U70" i="1"/>
  <c r="Y71" i="1" s="1"/>
  <c r="V70" i="1" l="1"/>
  <c r="AF71" i="1" s="1"/>
  <c r="AH70" i="1"/>
  <c r="W71" i="1" s="1"/>
  <c r="AI70" i="1"/>
  <c r="X71" i="1" s="1"/>
  <c r="AB71" i="1"/>
  <c r="AE71" i="1"/>
  <c r="AC71" i="1" l="1"/>
  <c r="AD71" i="1" s="1"/>
  <c r="Z71" i="1"/>
  <c r="AG71" i="1"/>
  <c r="V71" i="1"/>
  <c r="AF72" i="1" s="1"/>
  <c r="U71" i="1"/>
  <c r="AA71" i="1"/>
  <c r="AH71" i="1" s="1"/>
  <c r="AI71" i="1" l="1"/>
  <c r="V72" i="1" s="1"/>
  <c r="AF73" i="1" s="1"/>
  <c r="W72" i="1"/>
  <c r="AC72" i="1"/>
  <c r="Z72" i="1"/>
  <c r="AB72" i="1"/>
  <c r="AD72" i="1" s="1"/>
  <c r="Y72" i="1"/>
  <c r="AE72" i="1"/>
  <c r="AG72" i="1" s="1"/>
  <c r="AA72" i="1" l="1"/>
  <c r="AH72" i="1" s="1"/>
  <c r="U72" i="1"/>
  <c r="X72" i="1"/>
  <c r="AC73" i="1"/>
  <c r="Z73" i="1"/>
  <c r="AI72" i="1" l="1"/>
  <c r="X73" i="1" s="1"/>
  <c r="W73" i="1"/>
  <c r="AB73" i="1"/>
  <c r="AD73" i="1" s="1"/>
  <c r="AE73" i="1"/>
  <c r="AG73" i="1" s="1"/>
  <c r="Y73" i="1"/>
  <c r="V73" i="1" l="1"/>
  <c r="AF74" i="1" s="1"/>
  <c r="U73" i="1"/>
  <c r="AE74" i="1" s="1"/>
  <c r="AA73" i="1"/>
  <c r="AI73" i="1" s="1"/>
  <c r="AH73" i="1" l="1"/>
  <c r="W74" i="1" s="1"/>
  <c r="AB74" i="1"/>
  <c r="Y74" i="1"/>
  <c r="AC74" i="1"/>
  <c r="Z74" i="1"/>
  <c r="AG74" i="1"/>
  <c r="V74" i="1"/>
  <c r="AF75" i="1" s="1"/>
  <c r="AA74" i="1"/>
  <c r="AD74" i="1" l="1"/>
  <c r="AI74" i="1" s="1"/>
  <c r="U74" i="1"/>
  <c r="X74" i="1"/>
  <c r="AH74" i="1" l="1"/>
  <c r="W75" i="1" s="1"/>
  <c r="V75" i="1"/>
  <c r="AF76" i="1" s="1"/>
  <c r="X75" i="1"/>
  <c r="AC75" i="1"/>
  <c r="Z75" i="1"/>
  <c r="AB75" i="1"/>
  <c r="Y75" i="1"/>
  <c r="AE75" i="1"/>
  <c r="AG75" i="1" s="1"/>
  <c r="AD75" i="1" l="1"/>
  <c r="U75" i="1"/>
  <c r="AB76" i="1" s="1"/>
  <c r="AD76" i="1" s="1"/>
  <c r="AC76" i="1"/>
  <c r="Z76" i="1"/>
  <c r="AA75" i="1"/>
  <c r="Y76" i="1"/>
  <c r="AE76" i="1"/>
  <c r="AG76" i="1" s="1"/>
  <c r="AH75" i="1" l="1"/>
  <c r="W76" i="1" s="1"/>
  <c r="AI75" i="1"/>
  <c r="V76" i="1" s="1"/>
  <c r="AF77" i="1" s="1"/>
  <c r="AA76" i="1"/>
  <c r="AH76" i="1" s="1"/>
  <c r="AI76" i="1" l="1"/>
  <c r="W77" i="1"/>
  <c r="U76" i="1"/>
  <c r="AB77" i="1" s="1"/>
  <c r="X76" i="1"/>
  <c r="X77" i="1" l="1"/>
  <c r="Y77" i="1"/>
  <c r="AE77" i="1"/>
  <c r="V77" i="1"/>
  <c r="AF78" i="1" s="1"/>
  <c r="U77" i="1"/>
  <c r="AE78" i="1" s="1"/>
  <c r="AC77" i="1"/>
  <c r="AD77" i="1" s="1"/>
  <c r="Z77" i="1"/>
  <c r="Z78" i="1" l="1"/>
  <c r="AC78" i="1"/>
  <c r="AG77" i="1"/>
  <c r="AG78" i="1"/>
  <c r="AA77" i="1"/>
  <c r="AH77" i="1" s="1"/>
  <c r="Y78" i="1"/>
  <c r="AB78" i="1"/>
  <c r="AD78" i="1" s="1"/>
  <c r="AA78" i="1" l="1"/>
  <c r="AI78" i="1" s="1"/>
  <c r="AI77" i="1"/>
  <c r="X78" i="1" s="1"/>
  <c r="W78" i="1"/>
  <c r="AH78" i="1" l="1"/>
  <c r="W79" i="1" s="1"/>
  <c r="U78" i="1"/>
  <c r="AE79" i="1" s="1"/>
  <c r="X79" i="1"/>
  <c r="V78" i="1"/>
  <c r="AF79" i="1" s="1"/>
  <c r="Z79" i="1" l="1"/>
  <c r="U79" i="1"/>
  <c r="AE80" i="1" s="1"/>
  <c r="AB79" i="1"/>
  <c r="Y79" i="1"/>
  <c r="AG79" i="1"/>
  <c r="AC79" i="1"/>
  <c r="V79" i="1"/>
  <c r="AF80" i="1" s="1"/>
  <c r="Y80" i="1" l="1"/>
  <c r="AD79" i="1"/>
  <c r="AB80" i="1"/>
  <c r="AA79" i="1"/>
  <c r="AG80" i="1"/>
  <c r="Z80" i="1"/>
  <c r="AC80" i="1"/>
  <c r="AD80" i="1" s="1"/>
  <c r="AA80" i="1" l="1"/>
  <c r="AH80" i="1" s="1"/>
  <c r="AH79" i="1"/>
  <c r="W80" i="1" s="1"/>
  <c r="AI79" i="1"/>
  <c r="V80" i="1" s="1"/>
  <c r="AF81" i="1" s="1"/>
  <c r="W81" i="1" l="1"/>
  <c r="X80" i="1"/>
  <c r="U80" i="1"/>
  <c r="U81" i="1" s="1"/>
  <c r="AB82" i="1" s="1"/>
  <c r="AI80" i="1"/>
  <c r="V81" i="1" s="1"/>
  <c r="AF82" i="1" s="1"/>
  <c r="Z81" i="1"/>
  <c r="AC81" i="1"/>
  <c r="Z82" i="1" l="1"/>
  <c r="AB81" i="1"/>
  <c r="AD81" i="1" s="1"/>
  <c r="AE81" i="1"/>
  <c r="AG81" i="1" s="1"/>
  <c r="Y81" i="1"/>
  <c r="AA81" i="1" s="1"/>
  <c r="AH81" i="1" s="1"/>
  <c r="AE82" i="1"/>
  <c r="Y82" i="1"/>
  <c r="X81" i="1"/>
  <c r="AC82" i="1"/>
  <c r="AD82" i="1" s="1"/>
  <c r="AA82" i="1" l="1"/>
  <c r="AG82" i="1"/>
  <c r="AI81" i="1"/>
  <c r="X82" i="1" s="1"/>
  <c r="W82" i="1"/>
  <c r="U82" i="1"/>
  <c r="AH82" i="1" l="1"/>
  <c r="W83" i="1" s="1"/>
  <c r="AI82" i="1"/>
  <c r="X83" i="1" s="1"/>
  <c r="V82" i="1"/>
  <c r="AF83" i="1" s="1"/>
  <c r="Y83" i="1"/>
  <c r="AE83" i="1"/>
  <c r="AB83" i="1"/>
  <c r="U83" i="1" l="1"/>
  <c r="AE84" i="1" s="1"/>
  <c r="Z83" i="1"/>
  <c r="AG83" i="1"/>
  <c r="AC83" i="1"/>
  <c r="AD83" i="1" s="1"/>
  <c r="V83" i="1"/>
  <c r="AF84" i="1" s="1"/>
  <c r="AA83" i="1"/>
  <c r="Y84" i="1" l="1"/>
  <c r="AB84" i="1"/>
  <c r="AC84" i="1"/>
  <c r="AG84" i="1"/>
  <c r="Z84" i="1"/>
  <c r="AH83" i="1"/>
  <c r="AI83" i="1"/>
  <c r="AA84" i="1"/>
  <c r="AD84" i="1" l="1"/>
  <c r="AI84" i="1" s="1"/>
  <c r="AH84" i="1"/>
  <c r="V84" i="1"/>
  <c r="AF85" i="1" s="1"/>
  <c r="X84" i="1"/>
  <c r="W84" i="1"/>
  <c r="U84" i="1"/>
  <c r="X85" i="1" l="1"/>
  <c r="AB85" i="1"/>
  <c r="Y85" i="1"/>
  <c r="AE85" i="1"/>
  <c r="U85" i="1"/>
  <c r="W85" i="1"/>
  <c r="AC85" i="1"/>
  <c r="Z85" i="1"/>
  <c r="V85" i="1"/>
  <c r="AF86" i="1" s="1"/>
  <c r="AG85" i="1" l="1"/>
  <c r="AE86" i="1"/>
  <c r="Y86" i="1"/>
  <c r="AB86" i="1"/>
  <c r="Z86" i="1"/>
  <c r="AC86" i="1"/>
  <c r="AA85" i="1"/>
  <c r="AD85" i="1"/>
  <c r="AH85" i="1" l="1"/>
  <c r="AG86" i="1"/>
  <c r="AI85" i="1"/>
  <c r="AD86" i="1"/>
  <c r="AA86" i="1"/>
  <c r="AH86" i="1" l="1"/>
  <c r="AI86" i="1"/>
  <c r="W86" i="1"/>
  <c r="U86" i="1"/>
  <c r="V86" i="1"/>
  <c r="AF87" i="1" s="1"/>
  <c r="X86" i="1"/>
  <c r="X87" i="1" l="1"/>
  <c r="AC87" i="1"/>
  <c r="Z87" i="1"/>
  <c r="V87" i="1"/>
  <c r="AF88" i="1" s="1"/>
  <c r="Y87" i="1"/>
  <c r="AE87" i="1"/>
  <c r="AG87" i="1" s="1"/>
  <c r="AB87" i="1"/>
  <c r="U87" i="1"/>
  <c r="W87" i="1"/>
  <c r="Z88" i="1" l="1"/>
  <c r="AC88" i="1"/>
  <c r="AE88" i="1"/>
  <c r="AG88" i="1" s="1"/>
  <c r="AB88" i="1"/>
  <c r="Y88" i="1"/>
  <c r="AA87" i="1"/>
  <c r="AD87" i="1"/>
  <c r="AH87" i="1" l="1"/>
  <c r="AI87" i="1"/>
  <c r="AA88" i="1"/>
  <c r="AD88" i="1"/>
  <c r="AH88" i="1" l="1"/>
  <c r="AI88" i="1"/>
  <c r="W88" i="1"/>
  <c r="U88" i="1"/>
  <c r="X88" i="1"/>
  <c r="V88" i="1"/>
  <c r="AF89" i="1" s="1"/>
  <c r="X89" i="1" l="1"/>
  <c r="AE89" i="1"/>
  <c r="Y89" i="1"/>
  <c r="AB89" i="1"/>
  <c r="U89" i="1"/>
  <c r="Z89" i="1"/>
  <c r="AC89" i="1"/>
  <c r="V89" i="1"/>
  <c r="AF90" i="1" s="1"/>
  <c r="W89" i="1"/>
  <c r="AG89" i="1" l="1"/>
  <c r="AD89" i="1"/>
  <c r="AA89" i="1"/>
  <c r="Z90" i="1"/>
  <c r="AC90" i="1"/>
  <c r="Y90" i="1"/>
  <c r="AE90" i="1"/>
  <c r="AG90" i="1" s="1"/>
  <c r="AB90" i="1"/>
  <c r="AD90" i="1" s="1"/>
  <c r="AH89" i="1" l="1"/>
  <c r="AI89" i="1"/>
  <c r="AA90" i="1"/>
  <c r="AH90" i="1" s="1"/>
  <c r="AI90" i="1" l="1"/>
  <c r="W90" i="1"/>
  <c r="U90" i="1"/>
  <c r="V90" i="1"/>
  <c r="AF91" i="1" s="1"/>
  <c r="X90" i="1"/>
  <c r="AC91" i="1" l="1"/>
  <c r="Z91" i="1"/>
  <c r="U91" i="1"/>
  <c r="Y91" i="1"/>
  <c r="AE91" i="1"/>
  <c r="AG91" i="1" s="1"/>
  <c r="AB91" i="1"/>
  <c r="AD91" i="1" s="1"/>
  <c r="V91" i="1"/>
  <c r="AF92" i="1" s="1"/>
  <c r="X91" i="1"/>
  <c r="W91" i="1"/>
  <c r="AB92" i="1" l="1"/>
  <c r="Y92" i="1"/>
  <c r="AE92" i="1"/>
  <c r="AG92" i="1" s="1"/>
  <c r="AC92" i="1"/>
  <c r="Z92" i="1"/>
  <c r="AA91" i="1"/>
  <c r="AI91" i="1" l="1"/>
  <c r="V92" i="1" s="1"/>
  <c r="AF93" i="1" s="1"/>
  <c r="AH91" i="1"/>
  <c r="AD92" i="1"/>
  <c r="AA92" i="1"/>
  <c r="AH92" i="1" l="1"/>
  <c r="AC93" i="1"/>
  <c r="Z93" i="1"/>
  <c r="X92" i="1"/>
  <c r="AI92" i="1"/>
  <c r="W92" i="1"/>
  <c r="U92" i="1"/>
  <c r="Y93" i="1" l="1"/>
  <c r="AB93" i="1"/>
  <c r="AD93" i="1" s="1"/>
  <c r="U93" i="1"/>
  <c r="AE93" i="1"/>
  <c r="AG93" i="1" s="1"/>
  <c r="W93" i="1"/>
  <c r="X93" i="1"/>
  <c r="V93" i="1"/>
  <c r="AF94" i="1" s="1"/>
  <c r="Z94" i="1" l="1"/>
  <c r="AC94" i="1"/>
  <c r="Y94" i="1"/>
  <c r="AB94" i="1"/>
  <c r="AE94" i="1"/>
  <c r="AG94" i="1" s="1"/>
  <c r="AA93" i="1"/>
  <c r="AD94" i="1" l="1"/>
  <c r="AH93" i="1"/>
  <c r="AI93" i="1"/>
  <c r="AA94" i="1"/>
  <c r="AH94" i="1" s="1"/>
  <c r="AI94" i="1" l="1"/>
  <c r="W94" i="1"/>
  <c r="U94" i="1"/>
  <c r="V94" i="1"/>
  <c r="AF95" i="1" s="1"/>
  <c r="X94" i="1"/>
  <c r="X95" i="1" l="1"/>
  <c r="AC95" i="1"/>
  <c r="Z95" i="1"/>
  <c r="V95" i="1"/>
  <c r="AF96" i="1" s="1"/>
  <c r="Y95" i="1"/>
  <c r="U95" i="1"/>
  <c r="AE95" i="1"/>
  <c r="AG95" i="1" s="1"/>
  <c r="AB95" i="1"/>
  <c r="W95" i="1"/>
  <c r="AA95" i="1" l="1"/>
  <c r="Y96" i="1"/>
  <c r="AB96" i="1"/>
  <c r="AE96" i="1"/>
  <c r="AG96" i="1" s="1"/>
  <c r="Z96" i="1"/>
  <c r="AC96" i="1"/>
  <c r="AD95" i="1"/>
  <c r="AH95" i="1" l="1"/>
  <c r="AI95" i="1"/>
  <c r="AD96" i="1"/>
  <c r="AA96" i="1"/>
  <c r="AH96" i="1" l="1"/>
  <c r="AI96" i="1"/>
  <c r="W96" i="1"/>
  <c r="U96" i="1"/>
  <c r="V96" i="1"/>
  <c r="AF97" i="1" s="1"/>
  <c r="X96" i="1"/>
  <c r="X97" i="1" l="1"/>
  <c r="AE97" i="1"/>
  <c r="AB97" i="1"/>
  <c r="Y97" i="1"/>
  <c r="U97" i="1"/>
  <c r="V97" i="1"/>
  <c r="AF98" i="1" s="1"/>
  <c r="Z97" i="1"/>
  <c r="AC97" i="1"/>
  <c r="W97" i="1"/>
  <c r="AG97" i="1" l="1"/>
  <c r="Z98" i="1"/>
  <c r="AC98" i="1"/>
  <c r="AA97" i="1"/>
  <c r="AD97" i="1"/>
  <c r="AE98" i="1"/>
  <c r="AG98" i="1" s="1"/>
  <c r="AB98" i="1"/>
  <c r="AD98" i="1" s="1"/>
  <c r="Y98" i="1"/>
  <c r="AH97" i="1" l="1"/>
  <c r="W98" i="1" s="1"/>
  <c r="AI97" i="1"/>
  <c r="AA98" i="1"/>
  <c r="AH98" i="1" s="1"/>
  <c r="AI98" i="1" l="1"/>
  <c r="U98" i="1"/>
  <c r="V98" i="1"/>
  <c r="AF99" i="1" s="1"/>
  <c r="X98" i="1"/>
  <c r="U99" i="1"/>
  <c r="Y100" i="1" s="1"/>
  <c r="AE99" i="1" l="1"/>
  <c r="AB99" i="1"/>
  <c r="Y99" i="1"/>
  <c r="W99" i="1"/>
  <c r="V99" i="1"/>
  <c r="AF100" i="1" s="1"/>
  <c r="X99" i="1"/>
  <c r="AE100" i="1"/>
  <c r="Z99" i="1"/>
  <c r="AC99" i="1"/>
  <c r="AB100" i="1"/>
  <c r="AD99" i="1" l="1"/>
  <c r="AG99" i="1"/>
  <c r="AA99" i="1"/>
  <c r="AI99" i="1" s="1"/>
  <c r="V100" i="1" s="1"/>
  <c r="AF101" i="1" s="1"/>
  <c r="AC100" i="1"/>
  <c r="AD100" i="1" s="1"/>
  <c r="Z100" i="1"/>
  <c r="AG100" i="1"/>
  <c r="AH99" i="1" l="1"/>
  <c r="W100" i="1" s="1"/>
  <c r="AA100" i="1"/>
  <c r="AH100" i="1" s="1"/>
  <c r="X100" i="1"/>
  <c r="AC101" i="1"/>
  <c r="Z101" i="1"/>
  <c r="W101" i="1" l="1"/>
  <c r="U100" i="1"/>
  <c r="AE101" i="1" s="1"/>
  <c r="AG101" i="1" s="1"/>
  <c r="AI100" i="1"/>
  <c r="V101" i="1" s="1"/>
  <c r="AF102" i="1" s="1"/>
  <c r="Z102" i="1" l="1"/>
  <c r="Y101" i="1"/>
  <c r="AB101" i="1"/>
  <c r="AD101" i="1" s="1"/>
  <c r="AC102" i="1"/>
  <c r="U101" i="1"/>
  <c r="X101" i="1"/>
  <c r="AA101" i="1"/>
  <c r="AE102" i="1" l="1"/>
  <c r="AG102" i="1" s="1"/>
  <c r="AB102" i="1"/>
  <c r="AD102" i="1" s="1"/>
  <c r="Y102" i="1"/>
  <c r="AA102" i="1" s="1"/>
  <c r="AH101" i="1"/>
  <c r="W102" i="1" s="1"/>
  <c r="AI101" i="1"/>
  <c r="V102" i="1" s="1"/>
  <c r="AF103" i="1" s="1"/>
  <c r="AC103" i="1" l="1"/>
  <c r="U102" i="1"/>
  <c r="AB103" i="1" s="1"/>
  <c r="Z103" i="1"/>
  <c r="AH102" i="1"/>
  <c r="W103" i="1" s="1"/>
  <c r="AI102" i="1"/>
  <c r="V103" i="1" s="1"/>
  <c r="AF104" i="1" s="1"/>
  <c r="X102" i="1"/>
  <c r="Y103" i="1"/>
  <c r="AE103" i="1" l="1"/>
  <c r="AG103" i="1" s="1"/>
  <c r="AD103" i="1"/>
  <c r="Z104" i="1"/>
  <c r="U103" i="1"/>
  <c r="Y104" i="1" s="1"/>
  <c r="X103" i="1"/>
  <c r="AC104" i="1"/>
  <c r="AA103" i="1"/>
  <c r="AI103" i="1" s="1"/>
  <c r="AB104" i="1" l="1"/>
  <c r="AD104" i="1" s="1"/>
  <c r="AE104" i="1"/>
  <c r="AG104" i="1" s="1"/>
  <c r="AH103" i="1"/>
  <c r="W104" i="1" s="1"/>
  <c r="AA104" i="1"/>
  <c r="V104" i="1"/>
  <c r="AF105" i="1" s="1"/>
  <c r="AI104" i="1" l="1"/>
  <c r="AH104" i="1"/>
  <c r="W105" i="1" s="1"/>
  <c r="U104" i="1"/>
  <c r="X104" i="1"/>
  <c r="V105" i="1" l="1"/>
  <c r="AF106" i="1" s="1"/>
  <c r="U105" i="1"/>
  <c r="X105" i="1"/>
  <c r="AB105" i="1"/>
  <c r="Y105" i="1"/>
  <c r="AE105" i="1"/>
  <c r="Z105" i="1"/>
  <c r="AC105" i="1"/>
  <c r="AG105" i="1" l="1"/>
  <c r="Z106" i="1"/>
  <c r="AC106" i="1"/>
  <c r="AB106" i="1"/>
  <c r="Y106" i="1"/>
  <c r="AE106" i="1"/>
  <c r="AG106" i="1" s="1"/>
  <c r="AD105" i="1"/>
  <c r="AA105" i="1"/>
  <c r="AD106" i="1" l="1"/>
  <c r="AH105" i="1"/>
  <c r="W106" i="1" s="1"/>
  <c r="AI105" i="1"/>
  <c r="X106" i="1" s="1"/>
  <c r="AA106" i="1"/>
  <c r="AI106" i="1" s="1"/>
  <c r="AH106" i="1" l="1"/>
  <c r="W107" i="1" s="1"/>
  <c r="U106" i="1"/>
  <c r="V106" i="1"/>
  <c r="AF107" i="1" s="1"/>
  <c r="X107" i="1"/>
  <c r="U107" i="1" l="1"/>
  <c r="V107" i="1"/>
  <c r="AF108" i="1" s="1"/>
  <c r="Z107" i="1"/>
  <c r="AC107" i="1"/>
  <c r="Y107" i="1"/>
  <c r="AB107" i="1"/>
  <c r="AE107" i="1"/>
  <c r="AG107" i="1" s="1"/>
  <c r="AD107" i="1" l="1"/>
  <c r="Z108" i="1"/>
  <c r="AC108" i="1"/>
  <c r="AE108" i="1"/>
  <c r="AG108" i="1" s="1"/>
  <c r="AB108" i="1"/>
  <c r="AD108" i="1" s="1"/>
  <c r="Y108" i="1"/>
  <c r="AA107" i="1"/>
  <c r="AH107" i="1" s="1"/>
  <c r="AI107" i="1" l="1"/>
  <c r="V108" i="1" s="1"/>
  <c r="AF109" i="1" s="1"/>
  <c r="W108" i="1"/>
  <c r="AA108" i="1"/>
  <c r="AH108" i="1" s="1"/>
  <c r="AI108" i="1" l="1"/>
  <c r="U108" i="1"/>
  <c r="W109" i="1"/>
  <c r="X108" i="1"/>
  <c r="X109" i="1" l="1"/>
  <c r="V109" i="1"/>
  <c r="AF110" i="1" s="1"/>
  <c r="U109" i="1"/>
  <c r="AB109" i="1"/>
  <c r="Y109" i="1"/>
  <c r="AE109" i="1"/>
  <c r="Z109" i="1"/>
  <c r="AC109" i="1"/>
  <c r="AG109" i="1" l="1"/>
  <c r="Z110" i="1"/>
  <c r="AC110" i="1"/>
  <c r="AD109" i="1"/>
  <c r="AE110" i="1"/>
  <c r="AG110" i="1" s="1"/>
  <c r="Y110" i="1"/>
  <c r="AB110" i="1"/>
  <c r="AD110" i="1" s="1"/>
  <c r="AA109" i="1"/>
  <c r="AH109" i="1" s="1"/>
  <c r="AI109" i="1" l="1"/>
  <c r="V110" i="1" s="1"/>
  <c r="AF111" i="1" s="1"/>
  <c r="W110" i="1"/>
  <c r="AA110" i="1"/>
  <c r="AH110" i="1" s="1"/>
  <c r="AI110" i="1" l="1"/>
  <c r="W111" i="1"/>
  <c r="U110" i="1"/>
  <c r="U111" i="1" s="1"/>
  <c r="X110" i="1"/>
  <c r="Z111" i="1"/>
  <c r="X111" i="1" l="1"/>
  <c r="Y111" i="1"/>
  <c r="AB111" i="1"/>
  <c r="V111" i="1"/>
  <c r="AF112" i="1" s="1"/>
  <c r="AE111" i="1"/>
  <c r="AC111" i="1"/>
  <c r="AD111" i="1" s="1"/>
  <c r="AB112" i="1"/>
  <c r="AA111" i="1"/>
  <c r="AC112" i="1" l="1"/>
  <c r="AG111" i="1"/>
  <c r="AH111" i="1" s="1"/>
  <c r="W112" i="1" s="1"/>
  <c r="Z112" i="1"/>
  <c r="AD112" i="1"/>
  <c r="Y112" i="1"/>
  <c r="AE112" i="1"/>
  <c r="AG112" i="1" s="1"/>
  <c r="AI111" i="1" l="1"/>
  <c r="X112" i="1" s="1"/>
  <c r="AA112" i="1"/>
  <c r="AH112" i="1" s="1"/>
  <c r="W113" i="1" s="1"/>
  <c r="U112" i="1"/>
  <c r="V112" i="1"/>
  <c r="AF113" i="1" s="1"/>
  <c r="AI112" i="1" l="1"/>
  <c r="X113" i="1" s="1"/>
  <c r="U113" i="1"/>
  <c r="AB113" i="1"/>
  <c r="Y113" i="1"/>
  <c r="AE113" i="1"/>
  <c r="AG113" i="1" s="1"/>
  <c r="Z113" i="1"/>
  <c r="AC113" i="1"/>
  <c r="V113" i="1" l="1"/>
  <c r="AF114" i="1" s="1"/>
  <c r="AA113" i="1"/>
  <c r="Y114" i="1"/>
  <c r="AB114" i="1"/>
  <c r="AE114" i="1"/>
  <c r="AD113" i="1"/>
  <c r="Z114" i="1" l="1"/>
  <c r="AA114" i="1" s="1"/>
  <c r="AH113" i="1"/>
  <c r="W114" i="1" s="1"/>
  <c r="AC114" i="1"/>
  <c r="AD114" i="1" s="1"/>
  <c r="AG114" i="1"/>
  <c r="AI113" i="1"/>
  <c r="V114" i="1" s="1"/>
  <c r="AF115" i="1" s="1"/>
  <c r="AI114" i="1" l="1"/>
  <c r="AH114" i="1"/>
  <c r="W115" i="1" s="1"/>
  <c r="U114" i="1"/>
  <c r="X114" i="1"/>
  <c r="V115" i="1" l="1"/>
  <c r="AF116" i="1" s="1"/>
  <c r="X115" i="1"/>
  <c r="U115" i="1"/>
  <c r="Z115" i="1"/>
  <c r="AC115" i="1"/>
  <c r="AB115" i="1"/>
  <c r="AE115" i="1"/>
  <c r="AG115" i="1" s="1"/>
  <c r="Y115" i="1"/>
  <c r="AD115" i="1" l="1"/>
  <c r="AA115" i="1"/>
  <c r="Y116" i="1"/>
  <c r="AE116" i="1"/>
  <c r="AB116" i="1"/>
  <c r="Z116" i="1"/>
  <c r="AC116" i="1"/>
  <c r="AH115" i="1" l="1"/>
  <c r="W116" i="1" s="1"/>
  <c r="AG116" i="1"/>
  <c r="AI115" i="1"/>
  <c r="V116" i="1" s="1"/>
  <c r="AF117" i="1" s="1"/>
  <c r="AD116" i="1"/>
  <c r="AA116" i="1"/>
  <c r="AI116" i="1" l="1"/>
  <c r="AH116" i="1"/>
  <c r="W117" i="1" s="1"/>
  <c r="U116" i="1"/>
  <c r="X116" i="1"/>
  <c r="Z117" i="1"/>
  <c r="AC117" i="1"/>
  <c r="V117" i="1" l="1"/>
  <c r="AF118" i="1" s="1"/>
  <c r="X117" i="1"/>
  <c r="U117" i="1"/>
  <c r="AC118" i="1"/>
  <c r="AE117" i="1"/>
  <c r="AG117" i="1" s="1"/>
  <c r="Y117" i="1"/>
  <c r="AB117" i="1"/>
  <c r="AD117" i="1" s="1"/>
  <c r="Z118" i="1" l="1"/>
  <c r="AB118" i="1"/>
  <c r="AD118" i="1" s="1"/>
  <c r="AE118" i="1"/>
  <c r="AG118" i="1" s="1"/>
  <c r="Y118" i="1"/>
  <c r="AA117" i="1"/>
  <c r="AH117" i="1" l="1"/>
  <c r="W118" i="1" s="1"/>
  <c r="AI117" i="1"/>
  <c r="V118" i="1" s="1"/>
  <c r="AF119" i="1" s="1"/>
  <c r="AA118" i="1"/>
  <c r="AH118" i="1" l="1"/>
  <c r="W119" i="1" s="1"/>
  <c r="AI118" i="1"/>
  <c r="U118" i="1"/>
  <c r="AE119" i="1" s="1"/>
  <c r="X118" i="1"/>
  <c r="AB119" i="1" l="1"/>
  <c r="Y119" i="1"/>
  <c r="X119" i="1"/>
  <c r="V119" i="1"/>
  <c r="AF120" i="1" s="1"/>
  <c r="U119" i="1"/>
  <c r="AE120" i="1" s="1"/>
  <c r="AC119" i="1"/>
  <c r="AG119" i="1"/>
  <c r="Z119" i="1"/>
  <c r="AD119" i="1" l="1"/>
  <c r="Y120" i="1"/>
  <c r="AB120" i="1"/>
  <c r="AA119" i="1"/>
  <c r="AH119" i="1" s="1"/>
  <c r="Z120" i="1"/>
  <c r="AC120" i="1"/>
  <c r="AD120" i="1" s="1"/>
  <c r="AG120" i="1"/>
  <c r="AI119" i="1" l="1"/>
  <c r="V120" i="1" s="1"/>
  <c r="AF121" i="1" s="1"/>
  <c r="W120" i="1"/>
  <c r="AA120" i="1"/>
  <c r="AI120" i="1" s="1"/>
  <c r="AH120" i="1" l="1"/>
  <c r="W121" i="1" s="1"/>
  <c r="U120" i="1"/>
  <c r="X120" i="1"/>
  <c r="V121" i="1" s="1"/>
  <c r="AF122" i="1" s="1"/>
  <c r="X121" i="1" l="1"/>
  <c r="U121" i="1"/>
  <c r="Z122" i="1"/>
  <c r="Y121" i="1"/>
  <c r="AE121" i="1"/>
  <c r="AB121" i="1"/>
  <c r="Z121" i="1"/>
  <c r="AC121" i="1"/>
  <c r="AG121" i="1" l="1"/>
  <c r="AC122" i="1"/>
  <c r="AB122" i="1"/>
  <c r="AD122" i="1" s="1"/>
  <c r="Y122" i="1"/>
  <c r="AE122" i="1"/>
  <c r="AG122" i="1" s="1"/>
  <c r="AD121" i="1"/>
  <c r="AA121" i="1"/>
  <c r="AH121" i="1" l="1"/>
  <c r="W122" i="1" s="1"/>
  <c r="AI121" i="1"/>
  <c r="AA122" i="1"/>
  <c r="AH122" i="1" l="1"/>
  <c r="W123" i="1" s="1"/>
  <c r="AI122" i="1"/>
  <c r="U122" i="1"/>
  <c r="X122" i="1"/>
  <c r="V122" i="1"/>
  <c r="AF123" i="1" s="1"/>
  <c r="X123" i="1" l="1"/>
  <c r="U123" i="1"/>
  <c r="V123" i="1"/>
  <c r="AF124" i="1" s="1"/>
  <c r="Z123" i="1"/>
  <c r="AC123" i="1"/>
  <c r="AE123" i="1"/>
  <c r="AG123" i="1" s="1"/>
  <c r="AB123" i="1"/>
  <c r="AD123" i="1" s="1"/>
  <c r="Y123" i="1"/>
  <c r="Y124" i="1" l="1"/>
  <c r="AE124" i="1"/>
  <c r="AB124" i="1"/>
  <c r="AA123" i="1"/>
  <c r="AH123" i="1" s="1"/>
  <c r="Z124" i="1"/>
  <c r="AC124" i="1"/>
  <c r="AG124" i="1" l="1"/>
  <c r="AI123" i="1"/>
  <c r="V124" i="1" s="1"/>
  <c r="AF125" i="1" s="1"/>
  <c r="W124" i="1"/>
  <c r="AD124" i="1"/>
  <c r="AA124" i="1"/>
  <c r="AH124" i="1" l="1"/>
  <c r="W125" i="1" s="1"/>
  <c r="AI124" i="1"/>
  <c r="U124" i="1"/>
  <c r="X124" i="1"/>
  <c r="AC125" i="1"/>
  <c r="X125" i="1" l="1"/>
  <c r="V125" i="1"/>
  <c r="AF126" i="1" s="1"/>
  <c r="U125" i="1"/>
  <c r="Z125" i="1"/>
  <c r="AB125" i="1"/>
  <c r="AD125" i="1" s="1"/>
  <c r="Y125" i="1"/>
  <c r="AE125" i="1"/>
  <c r="AG125" i="1" s="1"/>
  <c r="Z126" i="1" l="1"/>
  <c r="AC126" i="1"/>
  <c r="AE126" i="1"/>
  <c r="AG126" i="1" s="1"/>
  <c r="AB126" i="1"/>
  <c r="AD126" i="1" s="1"/>
  <c r="Y126" i="1"/>
  <c r="AA125" i="1"/>
  <c r="AH125" i="1" s="1"/>
  <c r="AI125" i="1" l="1"/>
  <c r="V126" i="1" s="1"/>
  <c r="AF127" i="1" s="1"/>
  <c r="W126" i="1"/>
  <c r="AA126" i="1"/>
  <c r="AH126" i="1" s="1"/>
  <c r="AI126" i="1" l="1"/>
  <c r="U126" i="1"/>
  <c r="Y127" i="1" s="1"/>
  <c r="W127" i="1"/>
  <c r="X126" i="1"/>
  <c r="X127" i="1" l="1"/>
  <c r="AB127" i="1"/>
  <c r="AE127" i="1"/>
  <c r="V127" i="1"/>
  <c r="AF128" i="1" s="1"/>
  <c r="U127" i="1"/>
  <c r="Y128" i="1" s="1"/>
  <c r="AC127" i="1"/>
  <c r="AD127" i="1" s="1"/>
  <c r="Z127" i="1"/>
  <c r="AG127" i="1" l="1"/>
  <c r="AE128" i="1"/>
  <c r="AB128" i="1"/>
  <c r="AA127" i="1"/>
  <c r="AH127" i="1" s="1"/>
  <c r="AC128" i="1"/>
  <c r="AD128" i="1" s="1"/>
  <c r="Z128" i="1"/>
  <c r="AG128" i="1" l="1"/>
  <c r="AI127" i="1"/>
  <c r="V128" i="1" s="1"/>
  <c r="AF129" i="1" s="1"/>
  <c r="W128" i="1"/>
  <c r="AA128" i="1"/>
  <c r="AH128" i="1" s="1"/>
  <c r="AI128" i="1" l="1"/>
  <c r="V129" i="1" s="1"/>
  <c r="AF130" i="1" s="1"/>
  <c r="X128" i="1"/>
  <c r="W129" i="1"/>
  <c r="U128" i="1"/>
  <c r="AB129" i="1" s="1"/>
  <c r="Z129" i="1"/>
  <c r="AC129" i="1"/>
  <c r="X129" i="1" l="1"/>
  <c r="Y129" i="1"/>
  <c r="AA129" i="1" s="1"/>
  <c r="AE129" i="1"/>
  <c r="AG129" i="1" s="1"/>
  <c r="U129" i="1"/>
  <c r="AB130" i="1" s="1"/>
  <c r="AC130" i="1"/>
  <c r="Z130" i="1"/>
  <c r="AD129" i="1"/>
  <c r="AI129" i="1" l="1"/>
  <c r="V130" i="1" s="1"/>
  <c r="AF131" i="1" s="1"/>
  <c r="AH129" i="1"/>
  <c r="W130" i="1" s="1"/>
  <c r="AD130" i="1"/>
  <c r="AE130" i="1"/>
  <c r="AG130" i="1" s="1"/>
  <c r="Y130" i="1"/>
  <c r="AA130" i="1" l="1"/>
  <c r="U130" i="1"/>
  <c r="X130" i="1"/>
  <c r="AH130" i="1" l="1"/>
  <c r="W131" i="1" s="1"/>
  <c r="AI130" i="1"/>
  <c r="X131" i="1" s="1"/>
  <c r="Z131" i="1"/>
  <c r="AC131" i="1"/>
  <c r="AE131" i="1"/>
  <c r="AG131" i="1" s="1"/>
  <c r="Y131" i="1"/>
  <c r="AB131" i="1"/>
  <c r="AD131" i="1" s="1"/>
  <c r="U131" i="1" l="1"/>
  <c r="AE132" i="1" s="1"/>
  <c r="V131" i="1"/>
  <c r="AF132" i="1" s="1"/>
  <c r="AA131" i="1"/>
  <c r="AH131" i="1" s="1"/>
  <c r="AB132" i="1" l="1"/>
  <c r="Y132" i="1"/>
  <c r="AC132" i="1"/>
  <c r="AG132" i="1"/>
  <c r="AI131" i="1"/>
  <c r="V132" i="1" s="1"/>
  <c r="AF133" i="1" s="1"/>
  <c r="Z132" i="1"/>
  <c r="W132" i="1"/>
  <c r="AA132" i="1"/>
  <c r="AD132" i="1" l="1"/>
  <c r="AH132" i="1" s="1"/>
  <c r="W133" i="1" s="1"/>
  <c r="U132" i="1"/>
  <c r="AE133" i="1" s="1"/>
  <c r="X132" i="1"/>
  <c r="AI132" i="1" l="1"/>
  <c r="X133" i="1" s="1"/>
  <c r="AB133" i="1"/>
  <c r="Y133" i="1"/>
  <c r="U133" i="1"/>
  <c r="Z133" i="1"/>
  <c r="AG133" i="1"/>
  <c r="AC133" i="1"/>
  <c r="V133" i="1" l="1"/>
  <c r="AF134" i="1" s="1"/>
  <c r="AD133" i="1"/>
  <c r="AA133" i="1"/>
  <c r="AE134" i="1"/>
  <c r="Y134" i="1"/>
  <c r="AB134" i="1"/>
  <c r="Z134" i="1"/>
  <c r="AC134" i="1"/>
  <c r="AH133" i="1" l="1"/>
  <c r="W134" i="1" s="1"/>
  <c r="AG134" i="1"/>
  <c r="AI133" i="1"/>
  <c r="X134" i="1" s="1"/>
  <c r="AD134" i="1"/>
  <c r="AA134" i="1"/>
  <c r="AH134" i="1" l="1"/>
  <c r="W135" i="1" s="1"/>
  <c r="AI134" i="1"/>
  <c r="X135" i="1" s="1"/>
  <c r="U134" i="1"/>
  <c r="AB135" i="1" s="1"/>
  <c r="V134" i="1"/>
  <c r="AF135" i="1" s="1"/>
  <c r="Y135" i="1" l="1"/>
  <c r="Z135" i="1"/>
  <c r="AE135" i="1"/>
  <c r="AC135" i="1"/>
  <c r="AD135" i="1" s="1"/>
  <c r="AG135" i="1"/>
  <c r="V135" i="1"/>
  <c r="AF136" i="1" s="1"/>
  <c r="U135" i="1"/>
  <c r="AA135" i="1" l="1"/>
  <c r="AI135" i="1" s="1"/>
  <c r="V136" i="1" s="1"/>
  <c r="AF137" i="1" s="1"/>
  <c r="Z136" i="1"/>
  <c r="AC136" i="1"/>
  <c r="AB136" i="1"/>
  <c r="AD136" i="1" s="1"/>
  <c r="Y136" i="1"/>
  <c r="AE136" i="1"/>
  <c r="AG136" i="1" s="1"/>
  <c r="AH135" i="1" l="1"/>
  <c r="W136" i="1" s="1"/>
  <c r="X136" i="1"/>
  <c r="AA136" i="1"/>
  <c r="AH136" i="1" s="1"/>
  <c r="U136" i="1" l="1"/>
  <c r="AI136" i="1"/>
  <c r="X137" i="1" s="1"/>
  <c r="W137" i="1"/>
  <c r="Z137" i="1"/>
  <c r="AC137" i="1"/>
  <c r="AE137" i="1"/>
  <c r="AG137" i="1" s="1"/>
  <c r="AB137" i="1"/>
  <c r="AD137" i="1" s="1"/>
  <c r="Y137" i="1"/>
  <c r="V137" i="1" l="1"/>
  <c r="AF138" i="1" s="1"/>
  <c r="U137" i="1"/>
  <c r="AA137" i="1"/>
  <c r="AH137" i="1" s="1"/>
  <c r="AI137" i="1" l="1"/>
  <c r="X138" i="1" s="1"/>
  <c r="W138" i="1"/>
  <c r="AC138" i="1"/>
  <c r="Z138" i="1"/>
  <c r="AE138" i="1"/>
  <c r="AG138" i="1" s="1"/>
  <c r="Y138" i="1"/>
  <c r="AB138" i="1"/>
  <c r="AD138" i="1" s="1"/>
  <c r="AA138" i="1" l="1"/>
  <c r="AI138" i="1" s="1"/>
  <c r="V138" i="1"/>
  <c r="AF139" i="1" s="1"/>
  <c r="U138" i="1"/>
  <c r="AH138" i="1" l="1"/>
  <c r="W139" i="1" s="1"/>
  <c r="X139" i="1"/>
  <c r="Z139" i="1"/>
  <c r="AC139" i="1"/>
  <c r="AE139" i="1"/>
  <c r="AB139" i="1"/>
  <c r="AD139" i="1" s="1"/>
  <c r="Y139" i="1"/>
  <c r="AG139" i="1" l="1"/>
  <c r="U139" i="1"/>
  <c r="Y140" i="1" s="1"/>
  <c r="AA139" i="1"/>
  <c r="V139" i="1"/>
  <c r="AF140" i="1" s="1"/>
  <c r="Z140" i="1" l="1"/>
  <c r="AI139" i="1"/>
  <c r="X140" i="1" s="1"/>
  <c r="AB140" i="1"/>
  <c r="AE140" i="1"/>
  <c r="AH139" i="1"/>
  <c r="W140" i="1" s="1"/>
  <c r="AA140" i="1"/>
  <c r="AC140" i="1"/>
  <c r="AD140" i="1" s="1"/>
  <c r="AG140" i="1" l="1"/>
  <c r="AH140" i="1" s="1"/>
  <c r="W141" i="1" s="1"/>
  <c r="V140" i="1"/>
  <c r="AF141" i="1" s="1"/>
  <c r="U140" i="1"/>
  <c r="Y141" i="1" s="1"/>
  <c r="AC141" i="1" l="1"/>
  <c r="Z141" i="1"/>
  <c r="AA141" i="1" s="1"/>
  <c r="AI140" i="1"/>
  <c r="X141" i="1" s="1"/>
  <c r="AB141" i="1"/>
  <c r="AD141" i="1" s="1"/>
  <c r="U141" i="1"/>
  <c r="AB142" i="1" s="1"/>
  <c r="AE141" i="1"/>
  <c r="V141" i="1" l="1"/>
  <c r="AF142" i="1" s="1"/>
  <c r="Y142" i="1"/>
  <c r="AE142" i="1"/>
  <c r="AG141" i="1"/>
  <c r="AH141" i="1" s="1"/>
  <c r="W142" i="1" s="1"/>
  <c r="AG142" i="1" l="1"/>
  <c r="AC142" i="1"/>
  <c r="AD142" i="1" s="1"/>
  <c r="Z142" i="1"/>
  <c r="AA142" i="1" s="1"/>
  <c r="U142" i="1"/>
  <c r="AB143" i="1" s="1"/>
  <c r="AI141" i="1"/>
  <c r="AH142" i="1" l="1"/>
  <c r="W143" i="1" s="1"/>
  <c r="AE143" i="1"/>
  <c r="Y143" i="1"/>
  <c r="AI142" i="1"/>
  <c r="X143" i="1" s="1"/>
  <c r="X142" i="1"/>
  <c r="V142" i="1"/>
  <c r="AF143" i="1" s="1"/>
  <c r="U143" i="1" l="1"/>
  <c r="V143" i="1"/>
  <c r="AF144" i="1" s="1"/>
  <c r="Z143" i="1"/>
  <c r="AA143" i="1" s="1"/>
  <c r="AG143" i="1"/>
  <c r="AC143" i="1"/>
  <c r="AD143" i="1" s="1"/>
  <c r="AE144" i="1"/>
  <c r="AB144" i="1"/>
  <c r="Y144" i="1"/>
  <c r="AC144" i="1" l="1"/>
  <c r="AD144" i="1" s="1"/>
  <c r="AH143" i="1"/>
  <c r="W144" i="1" s="1"/>
  <c r="AG144" i="1"/>
  <c r="Z144" i="1"/>
  <c r="AA144" i="1" s="1"/>
  <c r="AI143" i="1"/>
  <c r="U144" i="1" l="1"/>
  <c r="AE145" i="1" s="1"/>
  <c r="X144" i="1"/>
  <c r="V144" i="1"/>
  <c r="AF145" i="1" s="1"/>
  <c r="AH144" i="1"/>
  <c r="W145" i="1" s="1"/>
  <c r="AI144" i="1"/>
  <c r="X145" i="1" s="1"/>
  <c r="AB145" i="1" l="1"/>
  <c r="Y145" i="1"/>
  <c r="AC145" i="1"/>
  <c r="Z145" i="1"/>
  <c r="AG145" i="1"/>
  <c r="V145" i="1"/>
  <c r="AF146" i="1" s="1"/>
  <c r="U145" i="1"/>
  <c r="AA145" i="1"/>
  <c r="AD145" i="1" l="1"/>
  <c r="AH145" i="1" s="1"/>
  <c r="W146" i="1" s="1"/>
  <c r="Z146" i="1"/>
  <c r="AI145" i="1"/>
  <c r="X146" i="1" s="1"/>
  <c r="AC146" i="1"/>
  <c r="AE146" i="1"/>
  <c r="AB146" i="1"/>
  <c r="AD146" i="1" s="1"/>
  <c r="Y146" i="1"/>
  <c r="AG146" i="1" l="1"/>
  <c r="V146" i="1"/>
  <c r="AF147" i="1" s="1"/>
  <c r="U146" i="1"/>
  <c r="AA146" i="1"/>
  <c r="Z147" i="1" l="1"/>
  <c r="AH146" i="1"/>
  <c r="W147" i="1" s="1"/>
  <c r="AI146" i="1"/>
  <c r="X147" i="1" s="1"/>
  <c r="AC147" i="1"/>
  <c r="AE147" i="1"/>
  <c r="AG147" i="1" s="1"/>
  <c r="AB147" i="1"/>
  <c r="Y147" i="1"/>
  <c r="AD147" i="1" l="1"/>
  <c r="V147" i="1"/>
  <c r="AF148" i="1" s="1"/>
  <c r="U147" i="1"/>
  <c r="AA147" i="1"/>
  <c r="Z148" i="1" l="1"/>
  <c r="AH147" i="1"/>
  <c r="W148" i="1" s="1"/>
  <c r="AI147" i="1"/>
  <c r="X148" i="1" s="1"/>
  <c r="AC148" i="1"/>
  <c r="AE148" i="1"/>
  <c r="AG148" i="1" s="1"/>
  <c r="AB148" i="1"/>
  <c r="AD148" i="1" s="1"/>
  <c r="Y148" i="1"/>
  <c r="V148" i="1" l="1"/>
  <c r="AF149" i="1" s="1"/>
  <c r="U148" i="1"/>
  <c r="AA148" i="1"/>
  <c r="Z149" i="1" l="1"/>
  <c r="AH148" i="1"/>
  <c r="W149" i="1" s="1"/>
  <c r="AI148" i="1"/>
  <c r="X149" i="1" s="1"/>
  <c r="AC149" i="1"/>
  <c r="AE149" i="1"/>
  <c r="AG149" i="1" s="1"/>
  <c r="AB149" i="1"/>
  <c r="Y149" i="1"/>
  <c r="AD149" i="1" l="1"/>
  <c r="V149" i="1"/>
  <c r="AF150" i="1" s="1"/>
  <c r="U149" i="1"/>
  <c r="AA149" i="1"/>
  <c r="AH149" i="1" l="1"/>
  <c r="W150" i="1" s="1"/>
  <c r="AI149" i="1"/>
  <c r="X150" i="1" s="1"/>
  <c r="Z150" i="1"/>
  <c r="AC150" i="1"/>
  <c r="AE150" i="1"/>
  <c r="AG150" i="1" s="1"/>
  <c r="AB150" i="1"/>
  <c r="AD150" i="1" s="1"/>
  <c r="Y150" i="1"/>
  <c r="V150" i="1" l="1"/>
  <c r="AF151" i="1" s="1"/>
  <c r="U150" i="1"/>
  <c r="AA150" i="1"/>
  <c r="AH150" i="1" s="1"/>
  <c r="Z151" i="1" l="1"/>
  <c r="AI150" i="1"/>
  <c r="V151" i="1" s="1"/>
  <c r="AF152" i="1" s="1"/>
  <c r="W151" i="1"/>
  <c r="AC151" i="1"/>
  <c r="AE151" i="1"/>
  <c r="AG151" i="1" s="1"/>
  <c r="AB151" i="1"/>
  <c r="Y151" i="1"/>
  <c r="AD151" i="1" l="1"/>
  <c r="U151" i="1"/>
  <c r="X151" i="1"/>
  <c r="AA151" i="1"/>
  <c r="AH151" i="1" l="1"/>
  <c r="W152" i="1" s="1"/>
  <c r="AI151" i="1"/>
  <c r="X152" i="1" s="1"/>
  <c r="Z152" i="1"/>
  <c r="AC152" i="1"/>
  <c r="AE152" i="1"/>
  <c r="AG152" i="1" s="1"/>
  <c r="AB152" i="1"/>
  <c r="Y152" i="1"/>
  <c r="AD152" i="1" l="1"/>
  <c r="U152" i="1"/>
  <c r="V152" i="1"/>
  <c r="AF153" i="1" s="1"/>
  <c r="AA152" i="1"/>
  <c r="AI152" i="1" s="1"/>
  <c r="Z153" i="1" l="1"/>
  <c r="AH152" i="1"/>
  <c r="W153" i="1" s="1"/>
  <c r="X153" i="1"/>
  <c r="V153" i="1"/>
  <c r="AF154" i="1" s="1"/>
  <c r="AC153" i="1"/>
  <c r="AE153" i="1"/>
  <c r="AG153" i="1" s="1"/>
  <c r="AB153" i="1"/>
  <c r="Y153" i="1"/>
  <c r="AD153" i="1" l="1"/>
  <c r="U153" i="1"/>
  <c r="Z154" i="1"/>
  <c r="AA153" i="1"/>
  <c r="AH153" i="1" l="1"/>
  <c r="W154" i="1" s="1"/>
  <c r="AI153" i="1"/>
  <c r="X154" i="1" s="1"/>
  <c r="AC154" i="1"/>
  <c r="AE154" i="1"/>
  <c r="AG154" i="1" s="1"/>
  <c r="AB154" i="1"/>
  <c r="Y154" i="1"/>
  <c r="AD154" i="1" l="1"/>
  <c r="V154" i="1"/>
  <c r="AF155" i="1" s="1"/>
  <c r="U154" i="1"/>
  <c r="AA154" i="1"/>
  <c r="Z155" i="1" l="1"/>
  <c r="AH154" i="1"/>
  <c r="W155" i="1" s="1"/>
  <c r="AI154" i="1"/>
  <c r="X155" i="1" s="1"/>
  <c r="AC155" i="1"/>
  <c r="AE155" i="1"/>
  <c r="AB155" i="1"/>
  <c r="AD155" i="1" s="1"/>
  <c r="Y155" i="1"/>
  <c r="AG155" i="1" l="1"/>
  <c r="V155" i="1"/>
  <c r="AF156" i="1" s="1"/>
  <c r="U155" i="1"/>
  <c r="AA155" i="1"/>
  <c r="AI155" i="1" s="1"/>
  <c r="Z156" i="1" l="1"/>
  <c r="AH155" i="1"/>
  <c r="W156" i="1" s="1"/>
  <c r="X156" i="1"/>
  <c r="AC156" i="1"/>
  <c r="AB156" i="1"/>
  <c r="AE156" i="1"/>
  <c r="AG156" i="1" s="1"/>
  <c r="Y156" i="1"/>
  <c r="V156" i="1" l="1"/>
  <c r="AF157" i="1" s="1"/>
  <c r="U156" i="1"/>
  <c r="AD156" i="1"/>
  <c r="AA156" i="1"/>
  <c r="Z157" i="1" l="1"/>
  <c r="AH156" i="1"/>
  <c r="W157" i="1" s="1"/>
  <c r="AI156" i="1"/>
  <c r="X157" i="1" s="1"/>
  <c r="AC157" i="1"/>
  <c r="AE157" i="1"/>
  <c r="AG157" i="1" s="1"/>
  <c r="AB157" i="1"/>
  <c r="Y157" i="1"/>
  <c r="AD157" i="1" l="1"/>
  <c r="V157" i="1"/>
  <c r="AF158" i="1" s="1"/>
  <c r="U157" i="1"/>
  <c r="AA157" i="1"/>
  <c r="Z158" i="1" l="1"/>
  <c r="AH157" i="1"/>
  <c r="W158" i="1" s="1"/>
  <c r="AI157" i="1"/>
  <c r="X158" i="1" s="1"/>
  <c r="AC158" i="1"/>
  <c r="AE158" i="1"/>
  <c r="AG158" i="1" s="1"/>
  <c r="AB158" i="1"/>
  <c r="AD158" i="1" s="1"/>
  <c r="Y158" i="1"/>
  <c r="V158" i="1" l="1"/>
  <c r="AF159" i="1" s="1"/>
  <c r="U158" i="1"/>
  <c r="AA158" i="1"/>
  <c r="Z159" i="1" l="1"/>
  <c r="AH158" i="1"/>
  <c r="W159" i="1" s="1"/>
  <c r="AI158" i="1"/>
  <c r="X159" i="1" s="1"/>
  <c r="AC159" i="1"/>
  <c r="AE159" i="1"/>
  <c r="AG159" i="1" s="1"/>
  <c r="AB159" i="1"/>
  <c r="Y159" i="1"/>
  <c r="AD159" i="1" l="1"/>
  <c r="V159" i="1"/>
  <c r="AF160" i="1" s="1"/>
  <c r="U159" i="1"/>
  <c r="AA159" i="1"/>
  <c r="Z160" i="1" l="1"/>
  <c r="AH159" i="1"/>
  <c r="W160" i="1" s="1"/>
  <c r="AI159" i="1"/>
  <c r="X160" i="1" s="1"/>
  <c r="AC160" i="1"/>
  <c r="AE160" i="1"/>
  <c r="AG160" i="1" s="1"/>
  <c r="AB160" i="1"/>
  <c r="Y160" i="1"/>
  <c r="AD160" i="1" l="1"/>
  <c r="V160" i="1"/>
  <c r="AF161" i="1" s="1"/>
  <c r="U160" i="1"/>
  <c r="AA160" i="1"/>
  <c r="Z161" i="1" l="1"/>
  <c r="AH160" i="1"/>
  <c r="W161" i="1" s="1"/>
  <c r="AI160" i="1"/>
  <c r="X161" i="1" s="1"/>
  <c r="AC161" i="1"/>
  <c r="AE161" i="1"/>
  <c r="AG161" i="1" s="1"/>
  <c r="AB161" i="1"/>
  <c r="AD161" i="1" s="1"/>
  <c r="Y161" i="1"/>
  <c r="V161" i="1" l="1"/>
  <c r="AF162" i="1" s="1"/>
  <c r="U161" i="1"/>
  <c r="AA161" i="1"/>
  <c r="AH161" i="1" l="1"/>
  <c r="W162" i="1" s="1"/>
  <c r="AI161" i="1"/>
  <c r="X162" i="1" s="1"/>
  <c r="Z162" i="1"/>
  <c r="AC162" i="1"/>
  <c r="AE162" i="1"/>
  <c r="AG162" i="1" s="1"/>
  <c r="AB162" i="1"/>
  <c r="AD162" i="1" s="1"/>
  <c r="Y162" i="1"/>
  <c r="V162" i="1" l="1"/>
  <c r="AF163" i="1" s="1"/>
  <c r="U162" i="1"/>
  <c r="AA162" i="1"/>
  <c r="AH162" i="1" s="1"/>
  <c r="AI162" i="1" l="1"/>
  <c r="X163" i="1" s="1"/>
  <c r="AC163" i="1"/>
  <c r="Z163" i="1"/>
  <c r="W163" i="1"/>
  <c r="AE163" i="1"/>
  <c r="AG163" i="1" s="1"/>
  <c r="AB163" i="1"/>
  <c r="AD163" i="1" s="1"/>
  <c r="Y163" i="1"/>
  <c r="V163" i="1" l="1"/>
  <c r="AF164" i="1" s="1"/>
  <c r="U163" i="1"/>
  <c r="AA163" i="1"/>
  <c r="AH163" i="1" s="1"/>
  <c r="Z164" i="1" l="1"/>
  <c r="AI163" i="1"/>
  <c r="X164" i="1" s="1"/>
  <c r="W164" i="1"/>
  <c r="AC164" i="1"/>
  <c r="AB164" i="1"/>
  <c r="AD164" i="1" s="1"/>
  <c r="AE164" i="1"/>
  <c r="AG164" i="1" s="1"/>
  <c r="Y164" i="1"/>
  <c r="V164" i="1" l="1"/>
  <c r="AF165" i="1" s="1"/>
  <c r="U164" i="1"/>
  <c r="AA164" i="1"/>
  <c r="Z165" i="1" l="1"/>
  <c r="AH164" i="1"/>
  <c r="W165" i="1" s="1"/>
  <c r="AI164" i="1"/>
  <c r="X165" i="1" s="1"/>
  <c r="AC165" i="1"/>
  <c r="AE165" i="1"/>
  <c r="AG165" i="1" s="1"/>
  <c r="AB165" i="1"/>
  <c r="AD165" i="1" s="1"/>
  <c r="Y165" i="1"/>
  <c r="V165" i="1" l="1"/>
  <c r="AF166" i="1" s="1"/>
  <c r="U165" i="1"/>
  <c r="AA165" i="1"/>
  <c r="Z166" i="1" l="1"/>
  <c r="AH165" i="1"/>
  <c r="W166" i="1" s="1"/>
  <c r="AI165" i="1"/>
  <c r="X166" i="1" s="1"/>
  <c r="AC166" i="1"/>
  <c r="AE166" i="1"/>
  <c r="AG166" i="1" s="1"/>
  <c r="AB166" i="1"/>
  <c r="Y166" i="1"/>
  <c r="V166" i="1" l="1"/>
  <c r="AF167" i="1" s="1"/>
  <c r="U166" i="1"/>
  <c r="AD166" i="1"/>
  <c r="AA166" i="1"/>
  <c r="Z167" i="1" l="1"/>
  <c r="AH166" i="1"/>
  <c r="W167" i="1" s="1"/>
  <c r="AI166" i="1"/>
  <c r="AC167" i="1"/>
  <c r="AE167" i="1"/>
  <c r="AG167" i="1" s="1"/>
  <c r="AB167" i="1"/>
  <c r="AD167" i="1" s="1"/>
  <c r="Y167" i="1"/>
  <c r="X167" i="1" l="1"/>
  <c r="V167" i="1"/>
  <c r="AF168" i="1" s="1"/>
  <c r="U167" i="1"/>
  <c r="AA167" i="1"/>
  <c r="Z168" i="1" l="1"/>
  <c r="AH167" i="1"/>
  <c r="W168" i="1" s="1"/>
  <c r="AI167" i="1"/>
  <c r="X168" i="1" s="1"/>
  <c r="AC168" i="1"/>
  <c r="AE168" i="1"/>
  <c r="AG168" i="1" s="1"/>
  <c r="AB168" i="1"/>
  <c r="AD168" i="1" s="1"/>
  <c r="Y168" i="1"/>
  <c r="V168" i="1" l="1"/>
  <c r="AF169" i="1" s="1"/>
  <c r="U168" i="1"/>
  <c r="AA168" i="1"/>
  <c r="AH168" i="1" l="1"/>
  <c r="W169" i="1" s="1"/>
  <c r="AI168" i="1"/>
  <c r="X169" i="1" s="1"/>
  <c r="AC169" i="1"/>
  <c r="Z169" i="1"/>
  <c r="AE169" i="1"/>
  <c r="AG169" i="1" s="1"/>
  <c r="AB169" i="1"/>
  <c r="AD169" i="1" s="1"/>
  <c r="Y169" i="1"/>
  <c r="V169" i="1" l="1"/>
  <c r="AF170" i="1" s="1"/>
  <c r="U169" i="1"/>
  <c r="AA169" i="1"/>
  <c r="AH169" i="1" s="1"/>
  <c r="AI169" i="1" l="1"/>
  <c r="V170" i="1" s="1"/>
  <c r="AF171" i="1" s="1"/>
  <c r="W170" i="1"/>
  <c r="Z170" i="1"/>
  <c r="AC170" i="1"/>
  <c r="AE170" i="1"/>
  <c r="AG170" i="1" s="1"/>
  <c r="AB170" i="1"/>
  <c r="AD170" i="1" s="1"/>
  <c r="Y170" i="1"/>
  <c r="U170" i="1" l="1"/>
  <c r="X170" i="1"/>
  <c r="AA170" i="1"/>
  <c r="AH170" i="1" s="1"/>
  <c r="AI170" i="1" l="1"/>
  <c r="X171" i="1" s="1"/>
  <c r="Z171" i="1"/>
  <c r="W171" i="1"/>
  <c r="AC171" i="1"/>
  <c r="AE171" i="1"/>
  <c r="AG171" i="1" s="1"/>
  <c r="AB171" i="1"/>
  <c r="AD171" i="1" s="1"/>
  <c r="Y171" i="1"/>
  <c r="U171" i="1" l="1"/>
  <c r="V171" i="1"/>
  <c r="AF172" i="1" s="1"/>
  <c r="AA171" i="1"/>
  <c r="AH171" i="1" s="1"/>
  <c r="AI171" i="1" l="1"/>
  <c r="X172" i="1" s="1"/>
  <c r="W172" i="1"/>
  <c r="AC172" i="1"/>
  <c r="Z172" i="1"/>
  <c r="AE172" i="1"/>
  <c r="AG172" i="1" s="1"/>
  <c r="AB172" i="1"/>
  <c r="Y172" i="1"/>
  <c r="V172" i="1" l="1"/>
  <c r="AF173" i="1" s="1"/>
  <c r="U172" i="1"/>
  <c r="AD172" i="1"/>
  <c r="AA172" i="1"/>
  <c r="AH172" i="1" s="1"/>
  <c r="AI172" i="1" l="1"/>
  <c r="V173" i="1" s="1"/>
  <c r="AF174" i="1" s="1"/>
  <c r="W173" i="1"/>
  <c r="AC173" i="1"/>
  <c r="Z173" i="1"/>
  <c r="AE173" i="1"/>
  <c r="AG173" i="1" s="1"/>
  <c r="AB173" i="1"/>
  <c r="AD173" i="1" s="1"/>
  <c r="Y173" i="1"/>
  <c r="U173" i="1" l="1"/>
  <c r="X173" i="1"/>
  <c r="AA173" i="1"/>
  <c r="AH173" i="1" s="1"/>
  <c r="AI173" i="1" l="1"/>
  <c r="W174" i="1"/>
  <c r="Z174" i="1"/>
  <c r="AC174" i="1"/>
  <c r="AE174" i="1"/>
  <c r="AG174" i="1" s="1"/>
  <c r="AB174" i="1"/>
  <c r="Y174" i="1"/>
  <c r="U174" i="1" l="1"/>
  <c r="X174" i="1"/>
  <c r="V174" i="1"/>
  <c r="AF175" i="1" s="1"/>
  <c r="AD174" i="1"/>
  <c r="AA174" i="1"/>
  <c r="AH174" i="1" l="1"/>
  <c r="W175" i="1" s="1"/>
  <c r="AI174" i="1"/>
  <c r="X175" i="1" s="1"/>
  <c r="AC175" i="1"/>
  <c r="Z175" i="1"/>
  <c r="AE175" i="1"/>
  <c r="AG175" i="1" s="1"/>
  <c r="AB175" i="1"/>
  <c r="Y175" i="1"/>
  <c r="AD175" i="1" l="1"/>
  <c r="V175" i="1"/>
  <c r="AF176" i="1" s="1"/>
  <c r="U175" i="1"/>
  <c r="AA175" i="1"/>
  <c r="AH175" i="1" s="1"/>
  <c r="Z176" i="1" l="1"/>
  <c r="AI175" i="1"/>
  <c r="X176" i="1" s="1"/>
  <c r="W176" i="1"/>
  <c r="AC176" i="1"/>
  <c r="AE176" i="1"/>
  <c r="AG176" i="1" s="1"/>
  <c r="AB176" i="1"/>
  <c r="AD176" i="1" s="1"/>
  <c r="Y176" i="1"/>
  <c r="V176" i="1" l="1"/>
  <c r="AF177" i="1" s="1"/>
  <c r="U176" i="1"/>
  <c r="AA176" i="1"/>
  <c r="Z177" i="1" l="1"/>
  <c r="AH176" i="1"/>
  <c r="W177" i="1" s="1"/>
  <c r="AI176" i="1"/>
  <c r="X177" i="1" s="1"/>
  <c r="AC177" i="1"/>
  <c r="AE177" i="1"/>
  <c r="AG177" i="1" s="1"/>
  <c r="AB177" i="1"/>
  <c r="AD177" i="1" s="1"/>
  <c r="Y177" i="1"/>
  <c r="V177" i="1" l="1"/>
  <c r="AF178" i="1" s="1"/>
  <c r="U177" i="1"/>
  <c r="AA177" i="1"/>
  <c r="Z178" i="1" l="1"/>
  <c r="AH177" i="1"/>
  <c r="W178" i="1" s="1"/>
  <c r="AI177" i="1"/>
  <c r="X178" i="1" s="1"/>
  <c r="AC178" i="1"/>
  <c r="AE178" i="1"/>
  <c r="AG178" i="1" s="1"/>
  <c r="AB178" i="1"/>
  <c r="AD178" i="1" s="1"/>
  <c r="Y178" i="1"/>
  <c r="V178" i="1" l="1"/>
  <c r="AF179" i="1" s="1"/>
  <c r="U178" i="1"/>
  <c r="AA178" i="1"/>
  <c r="Z179" i="1" l="1"/>
  <c r="AH178" i="1"/>
  <c r="W179" i="1" s="1"/>
  <c r="AI178" i="1"/>
  <c r="X179" i="1" s="1"/>
  <c r="AC179" i="1"/>
  <c r="AE179" i="1"/>
  <c r="AG179" i="1" s="1"/>
  <c r="AB179" i="1"/>
  <c r="AD179" i="1" s="1"/>
  <c r="Y179" i="1"/>
  <c r="V179" i="1" l="1"/>
  <c r="AF180" i="1" s="1"/>
  <c r="U179" i="1"/>
  <c r="AA179" i="1"/>
  <c r="Z180" i="1" l="1"/>
  <c r="AH179" i="1"/>
  <c r="W180" i="1" s="1"/>
  <c r="AI179" i="1"/>
  <c r="X180" i="1" s="1"/>
  <c r="AC180" i="1"/>
  <c r="AE180" i="1"/>
  <c r="AG180" i="1" s="1"/>
  <c r="AB180" i="1"/>
  <c r="Y180" i="1"/>
  <c r="AD180" i="1" l="1"/>
  <c r="V180" i="1"/>
  <c r="AF181" i="1" s="1"/>
  <c r="U180" i="1"/>
  <c r="AA180" i="1"/>
  <c r="Z181" i="1" l="1"/>
  <c r="AC181" i="1"/>
  <c r="AH180" i="1"/>
  <c r="W181" i="1" s="1"/>
  <c r="AI180" i="1"/>
  <c r="X181" i="1" s="1"/>
  <c r="AE181" i="1"/>
  <c r="AG181" i="1" s="1"/>
  <c r="AB181" i="1"/>
  <c r="AD181" i="1" s="1"/>
  <c r="Y181" i="1"/>
  <c r="V181" i="1" l="1"/>
  <c r="AF182" i="1" s="1"/>
  <c r="U181" i="1"/>
  <c r="AA181" i="1"/>
  <c r="Z182" i="1" l="1"/>
  <c r="AH181" i="1"/>
  <c r="W182" i="1" s="1"/>
  <c r="AI181" i="1"/>
  <c r="X182" i="1" s="1"/>
  <c r="AC182" i="1"/>
  <c r="AE182" i="1"/>
  <c r="AG182" i="1" s="1"/>
  <c r="AB182" i="1"/>
  <c r="Y182" i="1"/>
  <c r="AD182" i="1" l="1"/>
  <c r="V182" i="1"/>
  <c r="AF183" i="1" s="1"/>
  <c r="U182" i="1"/>
  <c r="AA182" i="1"/>
  <c r="Z183" i="1" l="1"/>
  <c r="AH182" i="1"/>
  <c r="W183" i="1" s="1"/>
  <c r="AI182" i="1"/>
  <c r="X183" i="1" s="1"/>
  <c r="AC183" i="1"/>
  <c r="AE183" i="1"/>
  <c r="AG183" i="1" s="1"/>
  <c r="AB183" i="1"/>
  <c r="AD183" i="1" s="1"/>
  <c r="Y183" i="1"/>
  <c r="V183" i="1" l="1"/>
  <c r="AF184" i="1" s="1"/>
  <c r="U183" i="1"/>
  <c r="AA183" i="1"/>
  <c r="Z184" i="1" l="1"/>
  <c r="AH183" i="1"/>
  <c r="W184" i="1" s="1"/>
  <c r="AI183" i="1"/>
  <c r="X184" i="1" s="1"/>
  <c r="AC184" i="1"/>
  <c r="AE184" i="1"/>
  <c r="AG184" i="1" s="1"/>
  <c r="AB184" i="1"/>
  <c r="AD184" i="1" s="1"/>
  <c r="Y184" i="1"/>
  <c r="V184" i="1" l="1"/>
  <c r="AF185" i="1" s="1"/>
  <c r="U184" i="1"/>
  <c r="AA184" i="1"/>
  <c r="Z185" i="1" l="1"/>
  <c r="AH184" i="1"/>
  <c r="W185" i="1" s="1"/>
  <c r="AI184" i="1"/>
  <c r="V185" i="1" s="1"/>
  <c r="AF186" i="1" s="1"/>
  <c r="AC185" i="1"/>
  <c r="AE185" i="1"/>
  <c r="AG185" i="1" s="1"/>
  <c r="AB185" i="1"/>
  <c r="AD185" i="1" s="1"/>
  <c r="Y185" i="1"/>
  <c r="X185" i="1" l="1"/>
  <c r="U185" i="1"/>
  <c r="Z186" i="1"/>
  <c r="AA185" i="1"/>
  <c r="AH185" i="1" l="1"/>
  <c r="W186" i="1" s="1"/>
  <c r="AI185" i="1"/>
  <c r="X186" i="1" s="1"/>
  <c r="AC186" i="1"/>
  <c r="AE186" i="1"/>
  <c r="AG186" i="1" s="1"/>
  <c r="AB186" i="1"/>
  <c r="AD186" i="1" s="1"/>
  <c r="Y186" i="1"/>
  <c r="V186" i="1" l="1"/>
  <c r="AF187" i="1" s="1"/>
  <c r="U186" i="1"/>
  <c r="AA186" i="1"/>
  <c r="Z187" i="1" l="1"/>
  <c r="AH186" i="1"/>
  <c r="W187" i="1" s="1"/>
  <c r="AI186" i="1"/>
  <c r="X187" i="1" s="1"/>
  <c r="AC187" i="1"/>
  <c r="AE187" i="1"/>
  <c r="AG187" i="1" s="1"/>
  <c r="AB187" i="1"/>
  <c r="Y187" i="1"/>
  <c r="AD187" i="1" l="1"/>
  <c r="V187" i="1"/>
  <c r="AF188" i="1" s="1"/>
  <c r="U187" i="1"/>
  <c r="AA187" i="1"/>
  <c r="Z188" i="1" l="1"/>
  <c r="AH187" i="1"/>
  <c r="W188" i="1" s="1"/>
  <c r="AI187" i="1"/>
  <c r="X188" i="1" s="1"/>
  <c r="AC188" i="1"/>
  <c r="AE188" i="1"/>
  <c r="AG188" i="1" s="1"/>
  <c r="AB188" i="1"/>
  <c r="AD188" i="1" s="1"/>
  <c r="Y188" i="1"/>
  <c r="V188" i="1" l="1"/>
  <c r="AF189" i="1" s="1"/>
  <c r="U188" i="1"/>
  <c r="AA188" i="1"/>
  <c r="Z189" i="1" l="1"/>
  <c r="AH188" i="1"/>
  <c r="W189" i="1" s="1"/>
  <c r="AI188" i="1"/>
  <c r="X189" i="1" s="1"/>
  <c r="AC189" i="1"/>
  <c r="AE189" i="1"/>
  <c r="AG189" i="1" s="1"/>
  <c r="AB189" i="1"/>
  <c r="AD189" i="1" s="1"/>
  <c r="Y189" i="1"/>
  <c r="V189" i="1" l="1"/>
  <c r="AF190" i="1" s="1"/>
  <c r="U189" i="1"/>
  <c r="AA189" i="1"/>
  <c r="Z190" i="1" l="1"/>
  <c r="AH189" i="1"/>
  <c r="W190" i="1" s="1"/>
  <c r="AI189" i="1"/>
  <c r="X190" i="1" s="1"/>
  <c r="AC190" i="1"/>
  <c r="AE190" i="1"/>
  <c r="AG190" i="1" s="1"/>
  <c r="AB190" i="1"/>
  <c r="Y190" i="1"/>
  <c r="AD190" i="1" l="1"/>
  <c r="V190" i="1"/>
  <c r="AF191" i="1" s="1"/>
  <c r="U190" i="1"/>
  <c r="AA190" i="1"/>
  <c r="Z191" i="1" l="1"/>
  <c r="AH190" i="1"/>
  <c r="W191" i="1" s="1"/>
  <c r="AI190" i="1"/>
  <c r="X191" i="1" s="1"/>
  <c r="AC191" i="1"/>
  <c r="AE191" i="1"/>
  <c r="AG191" i="1" s="1"/>
  <c r="AB191" i="1"/>
  <c r="AD191" i="1" s="1"/>
  <c r="Y191" i="1"/>
  <c r="V191" i="1" l="1"/>
  <c r="AF192" i="1" s="1"/>
  <c r="U191" i="1"/>
  <c r="AA191" i="1"/>
  <c r="AH191" i="1" l="1"/>
  <c r="W192" i="1" s="1"/>
  <c r="AI191" i="1"/>
  <c r="X192" i="1" s="1"/>
  <c r="Z192" i="1"/>
  <c r="AC192" i="1"/>
  <c r="AE192" i="1"/>
  <c r="AG192" i="1" s="1"/>
  <c r="AB192" i="1"/>
  <c r="Y192" i="1"/>
  <c r="AD192" i="1" l="1"/>
  <c r="V192" i="1"/>
  <c r="AF193" i="1" s="1"/>
  <c r="U192" i="1"/>
  <c r="AA192" i="1"/>
  <c r="AH192" i="1" s="1"/>
  <c r="Z193" i="1" l="1"/>
  <c r="AI192" i="1"/>
  <c r="V193" i="1" s="1"/>
  <c r="AF194" i="1" s="1"/>
  <c r="W193" i="1"/>
  <c r="AC193" i="1"/>
  <c r="AE193" i="1"/>
  <c r="AG193" i="1" s="1"/>
  <c r="AB193" i="1"/>
  <c r="AD193" i="1" s="1"/>
  <c r="Y193" i="1"/>
  <c r="U193" i="1" l="1"/>
  <c r="X193" i="1"/>
  <c r="Z194" i="1"/>
  <c r="AA193" i="1"/>
  <c r="AH193" i="1" l="1"/>
  <c r="W194" i="1" s="1"/>
  <c r="AI193" i="1"/>
  <c r="X194" i="1" s="1"/>
  <c r="AC194" i="1"/>
  <c r="AE194" i="1"/>
  <c r="AG194" i="1" s="1"/>
  <c r="AB194" i="1"/>
  <c r="Y194" i="1"/>
  <c r="AD194" i="1" l="1"/>
  <c r="U194" i="1"/>
  <c r="V194" i="1"/>
  <c r="AF195" i="1" s="1"/>
  <c r="AA194" i="1"/>
  <c r="AI194" i="1" s="1"/>
  <c r="Z195" i="1" l="1"/>
  <c r="AH194" i="1"/>
  <c r="W195" i="1" s="1"/>
  <c r="X195" i="1"/>
  <c r="V195" i="1"/>
  <c r="AF196" i="1" s="1"/>
  <c r="AC195" i="1"/>
  <c r="AE195" i="1"/>
  <c r="AG195" i="1" s="1"/>
  <c r="AB195" i="1"/>
  <c r="Y195" i="1"/>
  <c r="AD195" i="1" l="1"/>
  <c r="U195" i="1"/>
  <c r="Z196" i="1"/>
  <c r="AC196" i="1"/>
  <c r="AA195" i="1"/>
  <c r="AH195" i="1" l="1"/>
  <c r="W196" i="1" s="1"/>
  <c r="AI195" i="1"/>
  <c r="X196" i="1" s="1"/>
  <c r="AE196" i="1"/>
  <c r="AG196" i="1" s="1"/>
  <c r="AB196" i="1"/>
  <c r="AD196" i="1" s="1"/>
  <c r="Y196" i="1"/>
  <c r="V196" i="1" l="1"/>
  <c r="AF197" i="1" s="1"/>
  <c r="U196" i="1"/>
  <c r="AA196" i="1"/>
  <c r="Z197" i="1" l="1"/>
  <c r="AH196" i="1"/>
  <c r="W197" i="1" s="1"/>
  <c r="AI196" i="1"/>
  <c r="X197" i="1" s="1"/>
  <c r="AC197" i="1"/>
  <c r="AE197" i="1"/>
  <c r="AG197" i="1" s="1"/>
  <c r="AB197" i="1"/>
  <c r="AD197" i="1" s="1"/>
  <c r="Y197" i="1"/>
  <c r="V197" i="1" l="1"/>
  <c r="AF198" i="1" s="1"/>
  <c r="U197" i="1"/>
  <c r="AA197" i="1"/>
  <c r="Z198" i="1" l="1"/>
  <c r="AH197" i="1"/>
  <c r="W198" i="1" s="1"/>
  <c r="AI197" i="1"/>
  <c r="X198" i="1" s="1"/>
  <c r="AC198" i="1"/>
  <c r="AE198" i="1"/>
  <c r="AG198" i="1" s="1"/>
  <c r="AB198" i="1"/>
  <c r="Y198" i="1"/>
  <c r="AD198" i="1" l="1"/>
  <c r="V198" i="1"/>
  <c r="AF199" i="1" s="1"/>
  <c r="U198" i="1"/>
  <c r="AA198" i="1"/>
  <c r="AH198" i="1" l="1"/>
  <c r="W199" i="1" s="1"/>
  <c r="AI198" i="1"/>
  <c r="X199" i="1" s="1"/>
  <c r="AC199" i="1"/>
  <c r="Z199" i="1"/>
  <c r="AE199" i="1"/>
  <c r="AG199" i="1" s="1"/>
  <c r="AB199" i="1"/>
  <c r="AD199" i="1" s="1"/>
  <c r="Y199" i="1"/>
  <c r="V199" i="1" l="1"/>
  <c r="AF200" i="1" s="1"/>
  <c r="U199" i="1"/>
  <c r="AA199" i="1"/>
  <c r="AH199" i="1" s="1"/>
  <c r="Z200" i="1" l="1"/>
  <c r="AI199" i="1"/>
  <c r="V200" i="1" s="1"/>
  <c r="AF201" i="1" s="1"/>
  <c r="W200" i="1"/>
  <c r="AC200" i="1"/>
  <c r="AE200" i="1"/>
  <c r="AG200" i="1" s="1"/>
  <c r="AB200" i="1"/>
  <c r="Y200" i="1"/>
  <c r="U200" i="1" l="1"/>
  <c r="X200" i="1"/>
  <c r="Z201" i="1"/>
  <c r="AD200" i="1"/>
  <c r="AA200" i="1"/>
  <c r="AH200" i="1" l="1"/>
  <c r="W201" i="1" s="1"/>
  <c r="AI200" i="1"/>
  <c r="X201" i="1" s="1"/>
  <c r="AC201" i="1"/>
  <c r="AE201" i="1"/>
  <c r="AG201" i="1" s="1"/>
  <c r="AB201" i="1"/>
  <c r="AD201" i="1" s="1"/>
  <c r="Y201" i="1"/>
  <c r="U201" i="1" l="1"/>
  <c r="V201" i="1"/>
  <c r="AF202" i="1" s="1"/>
  <c r="AA201" i="1"/>
  <c r="AI201" i="1" s="1"/>
  <c r="Z202" i="1" l="1"/>
  <c r="AH201" i="1"/>
  <c r="W202" i="1" s="1"/>
  <c r="X202" i="1"/>
  <c r="V202" i="1"/>
  <c r="AF203" i="1" s="1"/>
  <c r="AC202" i="1"/>
  <c r="AE202" i="1"/>
  <c r="AG202" i="1" s="1"/>
  <c r="AB202" i="1"/>
  <c r="AD202" i="1" s="1"/>
  <c r="Y202" i="1"/>
  <c r="U202" i="1" l="1"/>
  <c r="Z203" i="1"/>
  <c r="AA202" i="1"/>
  <c r="AH202" i="1" l="1"/>
  <c r="W203" i="1" s="1"/>
  <c r="AI202" i="1"/>
  <c r="X203" i="1" s="1"/>
  <c r="AC203" i="1"/>
  <c r="AE203" i="1"/>
  <c r="AG203" i="1" s="1"/>
  <c r="AB203" i="1"/>
  <c r="Y203" i="1"/>
  <c r="AD203" i="1" l="1"/>
  <c r="V203" i="1"/>
  <c r="AF204" i="1" s="1"/>
  <c r="U203" i="1"/>
  <c r="AA203" i="1"/>
  <c r="Z204" i="1" l="1"/>
  <c r="AH203" i="1"/>
  <c r="W204" i="1" s="1"/>
  <c r="AI203" i="1"/>
  <c r="X204" i="1" s="1"/>
  <c r="AC204" i="1"/>
  <c r="AE204" i="1"/>
  <c r="AG204" i="1" s="1"/>
  <c r="AB204" i="1"/>
  <c r="Y204" i="1"/>
  <c r="AD204" i="1" l="1"/>
  <c r="V204" i="1"/>
  <c r="AF205" i="1" s="1"/>
  <c r="U204" i="1"/>
  <c r="AA204" i="1"/>
  <c r="Z205" i="1" l="1"/>
  <c r="AH204" i="1"/>
  <c r="W205" i="1" s="1"/>
  <c r="AI204" i="1"/>
  <c r="X205" i="1" s="1"/>
  <c r="AC205" i="1"/>
  <c r="AE205" i="1"/>
  <c r="AG205" i="1" s="1"/>
  <c r="AB205" i="1"/>
  <c r="Y205" i="1"/>
  <c r="AD205" i="1" l="1"/>
  <c r="V205" i="1"/>
  <c r="AF206" i="1" s="1"/>
  <c r="U205" i="1"/>
  <c r="AA205" i="1"/>
  <c r="Z206" i="1" l="1"/>
  <c r="AH205" i="1"/>
  <c r="W206" i="1" s="1"/>
  <c r="AI205" i="1"/>
  <c r="X206" i="1" s="1"/>
  <c r="AC206" i="1"/>
  <c r="AE206" i="1"/>
  <c r="AG206" i="1" s="1"/>
  <c r="AB206" i="1"/>
  <c r="Y206" i="1"/>
  <c r="AD206" i="1" l="1"/>
  <c r="V206" i="1"/>
  <c r="AF207" i="1" s="1"/>
  <c r="U206" i="1"/>
  <c r="AA206" i="1"/>
  <c r="Z207" i="1" l="1"/>
  <c r="AH206" i="1"/>
  <c r="W207" i="1" s="1"/>
  <c r="AI206" i="1"/>
  <c r="X207" i="1" s="1"/>
  <c r="AC207" i="1"/>
  <c r="AE207" i="1"/>
  <c r="AG207" i="1" s="1"/>
  <c r="AB207" i="1"/>
  <c r="AD207" i="1" s="1"/>
  <c r="Y207" i="1"/>
  <c r="V207" i="1" l="1"/>
  <c r="AF208" i="1" s="1"/>
  <c r="U207" i="1"/>
  <c r="AA207" i="1"/>
  <c r="Z208" i="1" l="1"/>
  <c r="AH207" i="1"/>
  <c r="W208" i="1" s="1"/>
  <c r="AI207" i="1"/>
  <c r="X208" i="1" s="1"/>
  <c r="AC208" i="1"/>
  <c r="AE208" i="1"/>
  <c r="AG208" i="1" s="1"/>
  <c r="AB208" i="1"/>
  <c r="AD208" i="1" s="1"/>
  <c r="Y208" i="1"/>
  <c r="V208" i="1" l="1"/>
  <c r="AF209" i="1" s="1"/>
  <c r="U208" i="1"/>
  <c r="AA208" i="1"/>
  <c r="Z209" i="1" l="1"/>
  <c r="AH208" i="1"/>
  <c r="W209" i="1" s="1"/>
  <c r="AI208" i="1"/>
  <c r="X209" i="1" s="1"/>
  <c r="AC209" i="1"/>
  <c r="AE209" i="1"/>
  <c r="AG209" i="1" s="1"/>
  <c r="AB209" i="1"/>
  <c r="AD209" i="1" s="1"/>
  <c r="Y209" i="1"/>
  <c r="V209" i="1" l="1"/>
  <c r="AF210" i="1" s="1"/>
  <c r="U209" i="1"/>
  <c r="AA209" i="1"/>
  <c r="Z210" i="1" l="1"/>
  <c r="AH209" i="1"/>
  <c r="W210" i="1" s="1"/>
  <c r="AI209" i="1"/>
  <c r="X210" i="1" s="1"/>
  <c r="AC210" i="1"/>
  <c r="AE210" i="1"/>
  <c r="AG210" i="1" s="1"/>
  <c r="AB210" i="1"/>
  <c r="AD210" i="1" s="1"/>
  <c r="Y210" i="1"/>
  <c r="V210" i="1" l="1"/>
  <c r="AF211" i="1" s="1"/>
  <c r="U210" i="1"/>
  <c r="AA210" i="1"/>
  <c r="Z211" i="1" l="1"/>
  <c r="AH210" i="1"/>
  <c r="W211" i="1" s="1"/>
  <c r="AI210" i="1"/>
  <c r="X211" i="1" s="1"/>
  <c r="AC211" i="1"/>
  <c r="AE211" i="1"/>
  <c r="AG211" i="1" s="1"/>
  <c r="AB211" i="1"/>
  <c r="Y211" i="1"/>
  <c r="AD211" i="1" l="1"/>
  <c r="V211" i="1"/>
  <c r="AF212" i="1" s="1"/>
  <c r="U211" i="1"/>
  <c r="AA211" i="1"/>
  <c r="Z212" i="1" l="1"/>
  <c r="AH211" i="1"/>
  <c r="W212" i="1" s="1"/>
  <c r="AI211" i="1"/>
  <c r="X212" i="1" s="1"/>
  <c r="AC212" i="1"/>
  <c r="AE212" i="1"/>
  <c r="AG212" i="1" s="1"/>
  <c r="AB212" i="1"/>
  <c r="Y212" i="1"/>
  <c r="AD212" i="1" l="1"/>
  <c r="V212" i="1"/>
  <c r="AF213" i="1" s="1"/>
  <c r="U212" i="1"/>
  <c r="AA212" i="1"/>
  <c r="Z213" i="1" l="1"/>
  <c r="AH212" i="1"/>
  <c r="W213" i="1" s="1"/>
  <c r="AI212" i="1"/>
  <c r="X213" i="1" s="1"/>
  <c r="AC213" i="1"/>
  <c r="AE213" i="1"/>
  <c r="AG213" i="1" s="1"/>
  <c r="AB213" i="1"/>
  <c r="AD213" i="1" s="1"/>
  <c r="Y213" i="1"/>
  <c r="V213" i="1" l="1"/>
  <c r="AF214" i="1" s="1"/>
  <c r="U213" i="1"/>
  <c r="AA213" i="1"/>
  <c r="Z214" i="1" l="1"/>
  <c r="AH213" i="1"/>
  <c r="W214" i="1" s="1"/>
  <c r="AI213" i="1"/>
  <c r="X214" i="1" s="1"/>
  <c r="AC214" i="1"/>
  <c r="AE214" i="1"/>
  <c r="AG214" i="1" s="1"/>
  <c r="AB214" i="1"/>
  <c r="Y214" i="1"/>
  <c r="AD214" i="1" l="1"/>
  <c r="V214" i="1"/>
  <c r="AF215" i="1" s="1"/>
  <c r="U214" i="1"/>
  <c r="AA214" i="1"/>
  <c r="Z215" i="1" l="1"/>
  <c r="AH214" i="1"/>
  <c r="W215" i="1" s="1"/>
  <c r="AI214" i="1"/>
  <c r="X215" i="1" s="1"/>
  <c r="AC215" i="1"/>
  <c r="AE215" i="1"/>
  <c r="AG215" i="1" s="1"/>
  <c r="AB215" i="1"/>
  <c r="AD215" i="1" s="1"/>
  <c r="Y215" i="1"/>
  <c r="V215" i="1" l="1"/>
  <c r="AF216" i="1" s="1"/>
  <c r="U215" i="1"/>
  <c r="AA215" i="1"/>
  <c r="Z216" i="1" l="1"/>
  <c r="AH215" i="1"/>
  <c r="W216" i="1" s="1"/>
  <c r="AI215" i="1"/>
  <c r="X216" i="1" s="1"/>
  <c r="AC216" i="1"/>
  <c r="AE216" i="1"/>
  <c r="AG216" i="1" s="1"/>
  <c r="AB216" i="1"/>
  <c r="AD216" i="1" s="1"/>
  <c r="Y216" i="1"/>
  <c r="V216" i="1" l="1"/>
  <c r="AF217" i="1" s="1"/>
  <c r="U216" i="1"/>
  <c r="AA216" i="1"/>
  <c r="Z217" i="1" l="1"/>
  <c r="AH216" i="1"/>
  <c r="W217" i="1" s="1"/>
  <c r="AI216" i="1"/>
  <c r="X217" i="1" s="1"/>
  <c r="AC217" i="1"/>
  <c r="AE217" i="1"/>
  <c r="AG217" i="1" s="1"/>
  <c r="AB217" i="1"/>
  <c r="Y217" i="1"/>
  <c r="AD217" i="1" l="1"/>
  <c r="V217" i="1"/>
  <c r="AF218" i="1" s="1"/>
  <c r="U217" i="1"/>
  <c r="AA217" i="1"/>
  <c r="AH217" i="1" l="1"/>
  <c r="W218" i="1" s="1"/>
  <c r="AI217" i="1"/>
  <c r="X218" i="1" s="1"/>
  <c r="AC218" i="1"/>
  <c r="Z218" i="1"/>
  <c r="AE218" i="1"/>
  <c r="AG218" i="1" s="1"/>
  <c r="AB218" i="1"/>
  <c r="Y218" i="1"/>
  <c r="AD218" i="1" l="1"/>
  <c r="V218" i="1"/>
  <c r="AF219" i="1" s="1"/>
  <c r="U218" i="1"/>
  <c r="AA218" i="1"/>
  <c r="AH218" i="1" s="1"/>
  <c r="Z219" i="1" l="1"/>
  <c r="AI218" i="1"/>
  <c r="V219" i="1" s="1"/>
  <c r="AF220" i="1" s="1"/>
  <c r="W219" i="1"/>
  <c r="AC219" i="1"/>
  <c r="AE219" i="1"/>
  <c r="AG219" i="1" s="1"/>
  <c r="AB219" i="1"/>
  <c r="AD219" i="1" s="1"/>
  <c r="Y219" i="1"/>
  <c r="U219" i="1" l="1"/>
  <c r="X219" i="1"/>
  <c r="Z220" i="1"/>
  <c r="AA219" i="1"/>
  <c r="AH219" i="1" l="1"/>
  <c r="W220" i="1" s="1"/>
  <c r="AI219" i="1"/>
  <c r="X220" i="1" s="1"/>
  <c r="AC220" i="1"/>
  <c r="AB220" i="1"/>
  <c r="AD220" i="1" s="1"/>
  <c r="AE220" i="1"/>
  <c r="AG220" i="1" s="1"/>
  <c r="Y220" i="1"/>
  <c r="U220" i="1" l="1"/>
  <c r="V220" i="1"/>
  <c r="AF221" i="1" s="1"/>
  <c r="AA220" i="1"/>
  <c r="Z221" i="1" l="1"/>
  <c r="AH220" i="1"/>
  <c r="W221" i="1" s="1"/>
  <c r="AI220" i="1"/>
  <c r="X221" i="1" s="1"/>
  <c r="AC221" i="1"/>
  <c r="AE221" i="1"/>
  <c r="AG221" i="1" s="1"/>
  <c r="AB221" i="1"/>
  <c r="AD221" i="1" s="1"/>
  <c r="Y221" i="1"/>
  <c r="V221" i="1" l="1"/>
  <c r="AF222" i="1" s="1"/>
  <c r="U221" i="1"/>
  <c r="AA221" i="1"/>
  <c r="Z222" i="1" l="1"/>
  <c r="AH221" i="1"/>
  <c r="W222" i="1" s="1"/>
  <c r="AI221" i="1"/>
  <c r="X222" i="1" s="1"/>
  <c r="AC222" i="1"/>
  <c r="AE222" i="1"/>
  <c r="AG222" i="1" s="1"/>
  <c r="AB222" i="1"/>
  <c r="Y222" i="1"/>
  <c r="V222" i="1" l="1"/>
  <c r="AF223" i="1" s="1"/>
  <c r="U222" i="1"/>
  <c r="AD222" i="1"/>
  <c r="AA222" i="1"/>
  <c r="Z223" i="1" l="1"/>
  <c r="AH222" i="1"/>
  <c r="W223" i="1" s="1"/>
  <c r="AI222" i="1"/>
  <c r="X223" i="1" s="1"/>
  <c r="AC223" i="1"/>
  <c r="AE223" i="1"/>
  <c r="AG223" i="1" s="1"/>
  <c r="AB223" i="1"/>
  <c r="AD223" i="1" s="1"/>
  <c r="Y223" i="1"/>
  <c r="V223" i="1" l="1"/>
  <c r="AF224" i="1" s="1"/>
  <c r="U223" i="1"/>
  <c r="AA223" i="1"/>
  <c r="Z224" i="1" l="1"/>
  <c r="AH223" i="1"/>
  <c r="W224" i="1" s="1"/>
  <c r="AI223" i="1"/>
  <c r="X224" i="1" s="1"/>
  <c r="AC224" i="1"/>
  <c r="AE224" i="1"/>
  <c r="AB224" i="1"/>
  <c r="AD224" i="1" s="1"/>
  <c r="Y224" i="1"/>
  <c r="AG224" i="1" l="1"/>
  <c r="V224" i="1"/>
  <c r="AF225" i="1" s="1"/>
  <c r="U224" i="1"/>
  <c r="AA224" i="1"/>
  <c r="Z225" i="1" l="1"/>
  <c r="AH224" i="1"/>
  <c r="W225" i="1" s="1"/>
  <c r="AI224" i="1"/>
  <c r="X225" i="1" s="1"/>
  <c r="AC225" i="1"/>
  <c r="AE225" i="1"/>
  <c r="AG225" i="1" s="1"/>
  <c r="AB225" i="1"/>
  <c r="AD225" i="1" s="1"/>
  <c r="Y225" i="1"/>
  <c r="V225" i="1" l="1"/>
  <c r="AF226" i="1" s="1"/>
  <c r="U225" i="1"/>
  <c r="AA225" i="1"/>
  <c r="Z226" i="1" l="1"/>
  <c r="AH225" i="1"/>
  <c r="W226" i="1" s="1"/>
  <c r="AI225" i="1"/>
  <c r="X226" i="1" s="1"/>
  <c r="AC226" i="1"/>
  <c r="AE226" i="1"/>
  <c r="AG226" i="1" s="1"/>
  <c r="AB226" i="1"/>
  <c r="AD226" i="1" s="1"/>
  <c r="Y226" i="1"/>
  <c r="V226" i="1" l="1"/>
  <c r="AF227" i="1" s="1"/>
  <c r="U226" i="1"/>
  <c r="AA226" i="1"/>
  <c r="AH226" i="1" l="1"/>
  <c r="W227" i="1" s="1"/>
  <c r="AI226" i="1"/>
  <c r="X227" i="1" s="1"/>
  <c r="Z227" i="1"/>
  <c r="AC227" i="1"/>
  <c r="AE227" i="1"/>
  <c r="AG227" i="1" s="1"/>
  <c r="AB227" i="1"/>
  <c r="Y227" i="1"/>
  <c r="AD227" i="1" l="1"/>
  <c r="V227" i="1"/>
  <c r="AF228" i="1" s="1"/>
  <c r="U227" i="1"/>
  <c r="AA227" i="1"/>
  <c r="AH227" i="1" s="1"/>
  <c r="Z228" i="1" l="1"/>
  <c r="AI227" i="1"/>
  <c r="V228" i="1" s="1"/>
  <c r="AF229" i="1" s="1"/>
  <c r="W228" i="1"/>
  <c r="AC228" i="1"/>
  <c r="AB228" i="1"/>
  <c r="AD228" i="1" s="1"/>
  <c r="AE228" i="1"/>
  <c r="AG228" i="1" s="1"/>
  <c r="Y228" i="1"/>
  <c r="U228" i="1" l="1"/>
  <c r="X228" i="1"/>
  <c r="Z229" i="1"/>
  <c r="AA228" i="1"/>
  <c r="AH228" i="1" l="1"/>
  <c r="W229" i="1" s="1"/>
  <c r="AI228" i="1"/>
  <c r="X229" i="1" s="1"/>
  <c r="AC229" i="1"/>
  <c r="AE229" i="1"/>
  <c r="AG229" i="1" s="1"/>
  <c r="AB229" i="1"/>
  <c r="Y229" i="1"/>
  <c r="AD229" i="1" l="1"/>
  <c r="U229" i="1"/>
  <c r="V229" i="1"/>
  <c r="AF230" i="1" s="1"/>
  <c r="AA229" i="1"/>
  <c r="Z230" i="1" l="1"/>
  <c r="AH229" i="1"/>
  <c r="W230" i="1" s="1"/>
  <c r="AI229" i="1"/>
  <c r="X230" i="1" s="1"/>
  <c r="AC230" i="1"/>
  <c r="AE230" i="1"/>
  <c r="AG230" i="1" s="1"/>
  <c r="AB230" i="1"/>
  <c r="AD230" i="1" s="1"/>
  <c r="Y230" i="1"/>
  <c r="V230" i="1" l="1"/>
  <c r="AF231" i="1" s="1"/>
  <c r="U230" i="1"/>
  <c r="AA230" i="1"/>
  <c r="AC231" i="1" l="1"/>
  <c r="AH230" i="1"/>
  <c r="W231" i="1" s="1"/>
  <c r="AI230" i="1"/>
  <c r="X231" i="1" s="1"/>
  <c r="Z231" i="1"/>
  <c r="AE231" i="1"/>
  <c r="AG231" i="1" s="1"/>
  <c r="AB231" i="1"/>
  <c r="Y231" i="1"/>
  <c r="AD231" i="1" l="1"/>
  <c r="V231" i="1"/>
  <c r="AF232" i="1" s="1"/>
  <c r="U231" i="1"/>
  <c r="AA231" i="1"/>
  <c r="AH231" i="1" s="1"/>
  <c r="Z232" i="1" l="1"/>
  <c r="AI231" i="1"/>
  <c r="X232" i="1" s="1"/>
  <c r="W232" i="1"/>
  <c r="AC232" i="1"/>
  <c r="AE232" i="1"/>
  <c r="AG232" i="1" s="1"/>
  <c r="AB232" i="1"/>
  <c r="Y232" i="1"/>
  <c r="AD232" i="1" l="1"/>
  <c r="V232" i="1"/>
  <c r="AF233" i="1" s="1"/>
  <c r="U232" i="1"/>
  <c r="AA232" i="1"/>
  <c r="Z233" i="1" l="1"/>
  <c r="AH232" i="1"/>
  <c r="W233" i="1" s="1"/>
  <c r="AI232" i="1"/>
  <c r="X233" i="1" s="1"/>
  <c r="AC233" i="1"/>
  <c r="AE233" i="1"/>
  <c r="AG233" i="1" s="1"/>
  <c r="AB233" i="1"/>
  <c r="Y233" i="1"/>
  <c r="AD233" i="1" l="1"/>
  <c r="V233" i="1"/>
  <c r="AF234" i="1" s="1"/>
  <c r="U233" i="1"/>
  <c r="AA233" i="1"/>
  <c r="Z234" i="1" l="1"/>
  <c r="AH233" i="1"/>
  <c r="W234" i="1" s="1"/>
  <c r="AI233" i="1"/>
  <c r="X234" i="1" s="1"/>
  <c r="AC234" i="1"/>
  <c r="AE234" i="1"/>
  <c r="AG234" i="1" s="1"/>
  <c r="AB234" i="1"/>
  <c r="Y234" i="1"/>
  <c r="AD234" i="1" l="1"/>
  <c r="V234" i="1"/>
  <c r="AF235" i="1" s="1"/>
  <c r="U234" i="1"/>
  <c r="AA234" i="1"/>
  <c r="Z235" i="1" l="1"/>
  <c r="AH234" i="1"/>
  <c r="W235" i="1" s="1"/>
  <c r="AI234" i="1"/>
  <c r="X235" i="1" s="1"/>
  <c r="AC235" i="1"/>
  <c r="AE235" i="1"/>
  <c r="AG235" i="1" s="1"/>
  <c r="AB235" i="1"/>
  <c r="AD235" i="1" s="1"/>
  <c r="Y235" i="1"/>
  <c r="V235" i="1" l="1"/>
  <c r="AF236" i="1" s="1"/>
  <c r="U235" i="1"/>
  <c r="AA235" i="1"/>
  <c r="Z236" i="1" l="1"/>
  <c r="AH235" i="1"/>
  <c r="W236" i="1" s="1"/>
  <c r="AI235" i="1"/>
  <c r="X236" i="1" s="1"/>
  <c r="AC236" i="1"/>
  <c r="AE236" i="1"/>
  <c r="AG236" i="1" s="1"/>
  <c r="AB236" i="1"/>
  <c r="AD236" i="1" s="1"/>
  <c r="Y236" i="1"/>
  <c r="V236" i="1" l="1"/>
  <c r="AF237" i="1" s="1"/>
  <c r="U236" i="1"/>
  <c r="AA236" i="1"/>
  <c r="AC237" i="1" l="1"/>
  <c r="AH236" i="1"/>
  <c r="W237" i="1" s="1"/>
  <c r="AI236" i="1"/>
  <c r="X237" i="1" s="1"/>
  <c r="Z237" i="1"/>
  <c r="AE237" i="1"/>
  <c r="AG237" i="1" s="1"/>
  <c r="AB237" i="1"/>
  <c r="AD237" i="1" s="1"/>
  <c r="Y237" i="1"/>
  <c r="V237" i="1" l="1"/>
  <c r="AF238" i="1" s="1"/>
  <c r="U237" i="1"/>
  <c r="AA237" i="1"/>
  <c r="AH237" i="1" s="1"/>
  <c r="Z238" i="1" l="1"/>
  <c r="AI237" i="1"/>
  <c r="V238" i="1" s="1"/>
  <c r="AF239" i="1" s="1"/>
  <c r="W238" i="1"/>
  <c r="AC238" i="1"/>
  <c r="AE238" i="1"/>
  <c r="AG238" i="1" s="1"/>
  <c r="AB238" i="1"/>
  <c r="AD238" i="1" s="1"/>
  <c r="Y238" i="1"/>
  <c r="U238" i="1" l="1"/>
  <c r="X238" i="1"/>
  <c r="Z239" i="1"/>
  <c r="AA238" i="1"/>
  <c r="AH238" i="1" l="1"/>
  <c r="W239" i="1" s="1"/>
  <c r="AI238" i="1"/>
  <c r="X239" i="1" s="1"/>
  <c r="AC239" i="1"/>
  <c r="AE239" i="1"/>
  <c r="AG239" i="1" s="1"/>
  <c r="AB239" i="1"/>
  <c r="Y239" i="1"/>
  <c r="AD239" i="1" l="1"/>
  <c r="U239" i="1"/>
  <c r="V239" i="1"/>
  <c r="AF240" i="1" s="1"/>
  <c r="AA239" i="1"/>
  <c r="AI239" i="1" s="1"/>
  <c r="Z240" i="1" l="1"/>
  <c r="AH239" i="1"/>
  <c r="W240" i="1" s="1"/>
  <c r="AC240" i="1"/>
  <c r="X240" i="1"/>
  <c r="V240" i="1"/>
  <c r="AF241" i="1" s="1"/>
  <c r="AE240" i="1"/>
  <c r="AG240" i="1" s="1"/>
  <c r="AB240" i="1"/>
  <c r="AD240" i="1" s="1"/>
  <c r="Y240" i="1"/>
  <c r="U240" i="1" l="1"/>
  <c r="Z241" i="1"/>
  <c r="AC241" i="1"/>
  <c r="AA240" i="1"/>
  <c r="AH240" i="1" l="1"/>
  <c r="W241" i="1" s="1"/>
  <c r="AI240" i="1"/>
  <c r="V241" i="1" s="1"/>
  <c r="AF242" i="1" s="1"/>
  <c r="AE241" i="1"/>
  <c r="AG241" i="1" s="1"/>
  <c r="AB241" i="1"/>
  <c r="AD241" i="1" s="1"/>
  <c r="Y241" i="1"/>
  <c r="X241" i="1" l="1"/>
  <c r="U241" i="1"/>
  <c r="AA241" i="1"/>
  <c r="AH241" i="1" l="1"/>
  <c r="W242" i="1" s="1"/>
  <c r="AI241" i="1"/>
  <c r="X242" i="1" s="1"/>
  <c r="Z242" i="1"/>
  <c r="AC242" i="1"/>
  <c r="AE242" i="1"/>
  <c r="AG242" i="1" s="1"/>
  <c r="AB242" i="1"/>
  <c r="AD242" i="1" s="1"/>
  <c r="Y242" i="1"/>
  <c r="V242" i="1" l="1"/>
  <c r="AF243" i="1" s="1"/>
  <c r="U242" i="1"/>
  <c r="AA242" i="1"/>
  <c r="AH242" i="1" s="1"/>
  <c r="Z243" i="1" l="1"/>
  <c r="AI242" i="1"/>
  <c r="V243" i="1" s="1"/>
  <c r="AF244" i="1" s="1"/>
  <c r="W243" i="1"/>
  <c r="AC243" i="1"/>
  <c r="AE243" i="1"/>
  <c r="AG243" i="1" s="1"/>
  <c r="AB243" i="1"/>
  <c r="AD243" i="1" s="1"/>
  <c r="Y243" i="1"/>
  <c r="X243" i="1" l="1"/>
  <c r="U243" i="1"/>
  <c r="Z244" i="1"/>
  <c r="AA243" i="1"/>
  <c r="AH243" i="1" l="1"/>
  <c r="W244" i="1" s="1"/>
  <c r="AI243" i="1"/>
  <c r="X244" i="1" s="1"/>
  <c r="AC244" i="1"/>
  <c r="AE244" i="1"/>
  <c r="AG244" i="1" s="1"/>
  <c r="AB244" i="1"/>
  <c r="Y244" i="1"/>
  <c r="AD244" i="1" l="1"/>
  <c r="V244" i="1"/>
  <c r="AF245" i="1" s="1"/>
  <c r="U244" i="1"/>
  <c r="AA244" i="1"/>
  <c r="Z245" i="1" l="1"/>
  <c r="AH244" i="1"/>
  <c r="W245" i="1" s="1"/>
  <c r="AI244" i="1"/>
  <c r="V245" i="1" s="1"/>
  <c r="AF246" i="1" s="1"/>
  <c r="AC245" i="1"/>
  <c r="AE245" i="1"/>
  <c r="AG245" i="1" s="1"/>
  <c r="AB245" i="1"/>
  <c r="Y245" i="1"/>
  <c r="AD245" i="1" l="1"/>
  <c r="X245" i="1"/>
  <c r="U245" i="1"/>
  <c r="Z246" i="1"/>
  <c r="AA245" i="1"/>
  <c r="AH245" i="1" l="1"/>
  <c r="W246" i="1" s="1"/>
  <c r="AI245" i="1"/>
  <c r="V246" i="1" s="1"/>
  <c r="AF247" i="1" s="1"/>
  <c r="AC246" i="1"/>
  <c r="AE246" i="1"/>
  <c r="AG246" i="1" s="1"/>
  <c r="AB246" i="1"/>
  <c r="AD246" i="1" s="1"/>
  <c r="Y246" i="1"/>
  <c r="X246" i="1" l="1"/>
  <c r="U246" i="1"/>
  <c r="Z247" i="1"/>
  <c r="AA246" i="1"/>
  <c r="AH246" i="1" l="1"/>
  <c r="W247" i="1" s="1"/>
  <c r="AI246" i="1"/>
  <c r="X247" i="1" s="1"/>
  <c r="AC247" i="1"/>
  <c r="AE247" i="1"/>
  <c r="AG247" i="1" s="1"/>
  <c r="AB247" i="1"/>
  <c r="Y247" i="1"/>
  <c r="AD247" i="1" l="1"/>
  <c r="V247" i="1"/>
  <c r="AF248" i="1" s="1"/>
  <c r="U247" i="1"/>
  <c r="AA247" i="1"/>
  <c r="Z248" i="1" l="1"/>
  <c r="AH247" i="1"/>
  <c r="W248" i="1" s="1"/>
  <c r="AI247" i="1"/>
  <c r="V248" i="1" s="1"/>
  <c r="AF249" i="1" s="1"/>
  <c r="AC248" i="1"/>
  <c r="AE248" i="1"/>
  <c r="AG248" i="1" s="1"/>
  <c r="AB248" i="1"/>
  <c r="AD248" i="1" s="1"/>
  <c r="Y248" i="1"/>
  <c r="X248" i="1" l="1"/>
  <c r="U248" i="1"/>
  <c r="Z249" i="1"/>
  <c r="AA248" i="1"/>
  <c r="AH248" i="1" l="1"/>
  <c r="W249" i="1" s="1"/>
  <c r="AI248" i="1"/>
  <c r="V249" i="1" s="1"/>
  <c r="AF250" i="1" s="1"/>
  <c r="AC249" i="1"/>
  <c r="AE249" i="1"/>
  <c r="AG249" i="1" s="1"/>
  <c r="AB249" i="1"/>
  <c r="AD249" i="1" s="1"/>
  <c r="Y249" i="1"/>
  <c r="X249" i="1" l="1"/>
  <c r="U249" i="1"/>
  <c r="Z250" i="1"/>
  <c r="AA249" i="1"/>
  <c r="AH249" i="1" l="1"/>
  <c r="W250" i="1" s="1"/>
  <c r="AI249" i="1"/>
  <c r="X250" i="1" s="1"/>
  <c r="AC250" i="1"/>
  <c r="AE250" i="1"/>
  <c r="AG250" i="1" s="1"/>
  <c r="AB250" i="1"/>
  <c r="AD250" i="1" s="1"/>
  <c r="Y250" i="1"/>
  <c r="V250" i="1" l="1"/>
  <c r="AF251" i="1" s="1"/>
  <c r="U250" i="1"/>
  <c r="AA250" i="1"/>
  <c r="Z251" i="1" l="1"/>
  <c r="AH250" i="1"/>
  <c r="W251" i="1" s="1"/>
  <c r="AI250" i="1"/>
  <c r="X251" i="1" s="1"/>
  <c r="AC251" i="1"/>
  <c r="AE251" i="1"/>
  <c r="AG251" i="1" s="1"/>
  <c r="AB251" i="1"/>
  <c r="AD251" i="1" s="1"/>
  <c r="Y251" i="1"/>
  <c r="V251" i="1" l="1"/>
  <c r="AF252" i="1" s="1"/>
  <c r="U251" i="1"/>
  <c r="AA251" i="1"/>
  <c r="Z252" i="1" l="1"/>
  <c r="AH251" i="1"/>
  <c r="W252" i="1" s="1"/>
  <c r="AI251" i="1"/>
  <c r="V252" i="1" s="1"/>
  <c r="AF253" i="1" s="1"/>
  <c r="AC252" i="1"/>
  <c r="AE252" i="1"/>
  <c r="AG252" i="1" s="1"/>
  <c r="AB252" i="1"/>
  <c r="Y252" i="1"/>
  <c r="AD252" i="1" l="1"/>
  <c r="X252" i="1"/>
  <c r="U252" i="1"/>
  <c r="Z253" i="1"/>
  <c r="AA252" i="1"/>
  <c r="AH252" i="1" l="1"/>
  <c r="W253" i="1" s="1"/>
  <c r="AI252" i="1"/>
  <c r="X253" i="1" s="1"/>
  <c r="AC253" i="1"/>
  <c r="AE253" i="1"/>
  <c r="AG253" i="1" s="1"/>
  <c r="AB253" i="1"/>
  <c r="Y253" i="1"/>
  <c r="AD253" i="1" l="1"/>
  <c r="V253" i="1"/>
  <c r="AF254" i="1" s="1"/>
  <c r="U253" i="1"/>
  <c r="AA253" i="1"/>
  <c r="Z254" i="1" l="1"/>
  <c r="AH253" i="1"/>
  <c r="W254" i="1" s="1"/>
  <c r="AI253" i="1"/>
  <c r="V254" i="1" s="1"/>
  <c r="AF255" i="1" s="1"/>
  <c r="AC254" i="1"/>
  <c r="AE254" i="1"/>
  <c r="AG254" i="1" s="1"/>
  <c r="AB254" i="1"/>
  <c r="Y254" i="1"/>
  <c r="AD254" i="1" l="1"/>
  <c r="X254" i="1"/>
  <c r="U254" i="1"/>
  <c r="Z255" i="1"/>
  <c r="AA254" i="1"/>
  <c r="AH254" i="1" l="1"/>
  <c r="W255" i="1" s="1"/>
  <c r="AI254" i="1"/>
  <c r="V255" i="1" s="1"/>
  <c r="AF256" i="1" s="1"/>
  <c r="AC255" i="1"/>
  <c r="AE255" i="1"/>
  <c r="AG255" i="1" s="1"/>
  <c r="AB255" i="1"/>
  <c r="AD255" i="1" s="1"/>
  <c r="Y255" i="1"/>
  <c r="X255" i="1" l="1"/>
  <c r="U255" i="1"/>
  <c r="Z256" i="1"/>
  <c r="AA255" i="1"/>
  <c r="AH255" i="1" l="1"/>
  <c r="W256" i="1" s="1"/>
  <c r="AI255" i="1"/>
  <c r="V256" i="1" s="1"/>
  <c r="AF257" i="1" s="1"/>
  <c r="AC256" i="1"/>
  <c r="AE256" i="1"/>
  <c r="AG256" i="1" s="1"/>
  <c r="AB256" i="1"/>
  <c r="Y256" i="1"/>
  <c r="AD256" i="1" l="1"/>
  <c r="X256" i="1"/>
  <c r="U256" i="1"/>
  <c r="Z257" i="1"/>
  <c r="AA256" i="1"/>
  <c r="AH256" i="1" l="1"/>
  <c r="W257" i="1" s="1"/>
  <c r="AI256" i="1"/>
  <c r="V257" i="1" s="1"/>
  <c r="AF258" i="1" s="1"/>
  <c r="AC257" i="1"/>
  <c r="AE257" i="1"/>
  <c r="AG257" i="1" s="1"/>
  <c r="AB257" i="1"/>
  <c r="Y257" i="1"/>
  <c r="AD257" i="1" l="1"/>
  <c r="X257" i="1"/>
  <c r="U257" i="1"/>
  <c r="Z258" i="1"/>
  <c r="AA257" i="1"/>
  <c r="AH257" i="1" l="1"/>
  <c r="W258" i="1" s="1"/>
  <c r="AI257" i="1"/>
  <c r="V258" i="1" s="1"/>
  <c r="AF259" i="1" s="1"/>
  <c r="AC258" i="1"/>
  <c r="AE258" i="1"/>
  <c r="AG258" i="1" s="1"/>
  <c r="AB258" i="1"/>
  <c r="Y258" i="1"/>
  <c r="AD258" i="1" l="1"/>
  <c r="X258" i="1"/>
  <c r="U258" i="1"/>
  <c r="Z259" i="1"/>
  <c r="AA258" i="1"/>
  <c r="AH258" i="1" l="1"/>
  <c r="W259" i="1" s="1"/>
  <c r="AI258" i="1"/>
  <c r="X259" i="1" s="1"/>
  <c r="AC259" i="1"/>
  <c r="AE259" i="1"/>
  <c r="AG259" i="1" s="1"/>
  <c r="AB259" i="1"/>
  <c r="Y259" i="1"/>
  <c r="AD259" i="1" l="1"/>
  <c r="V259" i="1"/>
  <c r="AF260" i="1" s="1"/>
  <c r="U259" i="1"/>
  <c r="AA259" i="1"/>
  <c r="Z260" i="1" l="1"/>
  <c r="AH259" i="1"/>
  <c r="W260" i="1" s="1"/>
  <c r="AI259" i="1"/>
  <c r="V260" i="1" s="1"/>
  <c r="AF261" i="1" s="1"/>
  <c r="AC260" i="1"/>
  <c r="AE260" i="1"/>
  <c r="AG260" i="1" s="1"/>
  <c r="AB260" i="1"/>
  <c r="AD260" i="1" s="1"/>
  <c r="Y260" i="1"/>
  <c r="X260" i="1" l="1"/>
  <c r="U260" i="1"/>
  <c r="Z261" i="1"/>
  <c r="AA260" i="1"/>
  <c r="AH260" i="1" l="1"/>
  <c r="W261" i="1" s="1"/>
  <c r="AI260" i="1"/>
  <c r="X261" i="1" s="1"/>
  <c r="AC261" i="1"/>
  <c r="AE261" i="1"/>
  <c r="AG261" i="1" s="1"/>
  <c r="AB261" i="1"/>
  <c r="AD261" i="1" s="1"/>
  <c r="Y261" i="1"/>
  <c r="V261" i="1" l="1"/>
  <c r="AF262" i="1" s="1"/>
  <c r="U261" i="1"/>
  <c r="AA261" i="1"/>
  <c r="AH261" i="1" l="1"/>
  <c r="W262" i="1" s="1"/>
  <c r="AI261" i="1"/>
  <c r="X262" i="1" s="1"/>
  <c r="AC262" i="1"/>
  <c r="Z262" i="1"/>
  <c r="AE262" i="1"/>
  <c r="AG262" i="1" s="1"/>
  <c r="AB262" i="1"/>
  <c r="Y262" i="1"/>
  <c r="AD262" i="1" l="1"/>
  <c r="V262" i="1"/>
  <c r="AF263" i="1" s="1"/>
  <c r="U262" i="1"/>
  <c r="AA262" i="1"/>
  <c r="AH262" i="1" s="1"/>
  <c r="Z263" i="1" l="1"/>
  <c r="AI262" i="1"/>
  <c r="V263" i="1" s="1"/>
  <c r="AF264" i="1" s="1"/>
  <c r="AC263" i="1"/>
  <c r="W263" i="1"/>
  <c r="AE263" i="1"/>
  <c r="AB263" i="1"/>
  <c r="AD263" i="1" s="1"/>
  <c r="Y263" i="1"/>
  <c r="AG263" i="1" l="1"/>
  <c r="X263" i="1"/>
  <c r="U263" i="1"/>
  <c r="Z264" i="1"/>
  <c r="AA263" i="1"/>
  <c r="AH263" i="1" l="1"/>
  <c r="W264" i="1" s="1"/>
  <c r="AI263" i="1"/>
  <c r="V264" i="1" s="1"/>
  <c r="AF265" i="1" s="1"/>
  <c r="AC264" i="1"/>
  <c r="AE264" i="1"/>
  <c r="AG264" i="1" s="1"/>
  <c r="AB264" i="1"/>
  <c r="Y264" i="1"/>
  <c r="AD264" i="1" l="1"/>
  <c r="X264" i="1"/>
  <c r="U264" i="1"/>
  <c r="AB265" i="1" s="1"/>
  <c r="Z265" i="1"/>
  <c r="AA264" i="1"/>
  <c r="AH264" i="1" l="1"/>
  <c r="W265" i="1" s="1"/>
  <c r="AI264" i="1"/>
  <c r="V265" i="1" s="1"/>
  <c r="AF266" i="1" s="1"/>
  <c r="Y265" i="1"/>
  <c r="AA265" i="1" s="1"/>
  <c r="AE265" i="1"/>
  <c r="AG265" i="1" s="1"/>
  <c r="AC265" i="1"/>
  <c r="AD265" i="1" s="1"/>
  <c r="AH265" i="1" l="1"/>
  <c r="W266" i="1" s="1"/>
  <c r="X265" i="1"/>
  <c r="U265" i="1"/>
  <c r="AI265" i="1" l="1"/>
  <c r="X266" i="1" s="1"/>
  <c r="U266" i="1"/>
  <c r="Y267" i="1" s="1"/>
  <c r="AE266" i="1"/>
  <c r="AB266" i="1"/>
  <c r="Y266" i="1"/>
  <c r="Z266" i="1"/>
  <c r="AC266" i="1"/>
  <c r="AB267" i="1"/>
  <c r="AE267" i="1"/>
  <c r="AD266" i="1" l="1"/>
  <c r="AG266" i="1"/>
  <c r="V266" i="1"/>
  <c r="AF267" i="1" s="1"/>
  <c r="AA266" i="1"/>
  <c r="AH266" i="1" s="1"/>
  <c r="Z267" i="1" l="1"/>
  <c r="AC267" i="1"/>
  <c r="AD267" i="1" s="1"/>
  <c r="AG267" i="1"/>
  <c r="AI266" i="1"/>
  <c r="V267" i="1" s="1"/>
  <c r="AF268" i="1" s="1"/>
  <c r="W267" i="1"/>
  <c r="AA267" i="1"/>
  <c r="AH267" i="1" s="1"/>
  <c r="AI267" i="1" l="1"/>
  <c r="W268" i="1"/>
  <c r="U267" i="1"/>
  <c r="AB268" i="1" s="1"/>
  <c r="X267" i="1"/>
  <c r="X268" i="1" l="1"/>
  <c r="V268" i="1"/>
  <c r="AF269" i="1" s="1"/>
  <c r="U268" i="1"/>
  <c r="AB269" i="1" s="1"/>
  <c r="Y268" i="1"/>
  <c r="AE268" i="1"/>
  <c r="Z268" i="1"/>
  <c r="AC268" i="1"/>
  <c r="AD268" i="1" s="1"/>
  <c r="AG268" i="1" l="1"/>
  <c r="Y269" i="1"/>
  <c r="AE269" i="1"/>
  <c r="AG269" i="1" s="1"/>
  <c r="AC269" i="1"/>
  <c r="AD269" i="1" s="1"/>
  <c r="Z269" i="1"/>
  <c r="AA268" i="1"/>
  <c r="AH268" i="1" s="1"/>
  <c r="AI268" i="1" l="1"/>
  <c r="V269" i="1" s="1"/>
  <c r="AF270" i="1" s="1"/>
  <c r="W269" i="1"/>
  <c r="AA269" i="1"/>
  <c r="AH269" i="1" s="1"/>
  <c r="AI269" i="1" l="1"/>
  <c r="W270" i="1"/>
  <c r="U269" i="1"/>
  <c r="AE270" i="1" s="1"/>
  <c r="X269" i="1"/>
  <c r="X270" i="1" l="1"/>
  <c r="V270" i="1"/>
  <c r="AF271" i="1" s="1"/>
  <c r="U270" i="1"/>
  <c r="AB271" i="1" s="1"/>
  <c r="Y270" i="1"/>
  <c r="AB270" i="1"/>
  <c r="Z270" i="1"/>
  <c r="AC270" i="1"/>
  <c r="AG270" i="1"/>
  <c r="AD270" i="1" l="1"/>
  <c r="AE271" i="1"/>
  <c r="Y271" i="1"/>
  <c r="AC271" i="1"/>
  <c r="AD271" i="1" s="1"/>
  <c r="Z271" i="1"/>
  <c r="AA270" i="1"/>
  <c r="AI270" i="1" s="1"/>
  <c r="AG271" i="1" l="1"/>
  <c r="AH270" i="1"/>
  <c r="W271" i="1" s="1"/>
  <c r="V271" i="1"/>
  <c r="AF272" i="1" s="1"/>
  <c r="AA271" i="1"/>
  <c r="AH271" i="1" s="1"/>
  <c r="AI271" i="1" l="1"/>
  <c r="W272" i="1"/>
  <c r="U271" i="1"/>
  <c r="X271" i="1"/>
  <c r="X272" i="1" l="1"/>
  <c r="V272" i="1"/>
  <c r="AF273" i="1" s="1"/>
  <c r="U272" i="1"/>
  <c r="AE273" i="1" s="1"/>
  <c r="AB272" i="1"/>
  <c r="Y272" i="1"/>
  <c r="AE272" i="1"/>
  <c r="AG272" i="1" s="1"/>
  <c r="AC272" i="1"/>
  <c r="Z272" i="1"/>
  <c r="AD272" i="1" l="1"/>
  <c r="AB273" i="1"/>
  <c r="Y273" i="1"/>
  <c r="AC273" i="1"/>
  <c r="Z273" i="1"/>
  <c r="AG273" i="1"/>
  <c r="AA272" i="1"/>
  <c r="AH272" i="1" s="1"/>
  <c r="AI272" i="1" l="1"/>
  <c r="V273" i="1" s="1"/>
  <c r="AF274" i="1" s="1"/>
  <c r="W273" i="1"/>
  <c r="AD273" i="1"/>
  <c r="AA273" i="1"/>
  <c r="AI273" i="1" s="1"/>
  <c r="AH273" i="1" l="1"/>
  <c r="W274" i="1" s="1"/>
  <c r="U273" i="1"/>
  <c r="X273" i="1"/>
  <c r="V274" i="1" s="1"/>
  <c r="AF275" i="1" s="1"/>
  <c r="X274" i="1" l="1"/>
  <c r="U274" i="1"/>
  <c r="Y274" i="1"/>
  <c r="AB274" i="1"/>
  <c r="AE274" i="1"/>
  <c r="Z274" i="1"/>
  <c r="AC274" i="1"/>
  <c r="AD274" i="1" s="1"/>
  <c r="AG274" i="1" l="1"/>
  <c r="AA274" i="1"/>
  <c r="AH274" i="1" s="1"/>
  <c r="Y275" i="1"/>
  <c r="AE275" i="1"/>
  <c r="AG275" i="1" s="1"/>
  <c r="AB275" i="1"/>
  <c r="Z275" i="1"/>
  <c r="AC275" i="1"/>
  <c r="AI274" i="1" l="1"/>
  <c r="V275" i="1" s="1"/>
  <c r="AF276" i="1" s="1"/>
  <c r="W275" i="1"/>
  <c r="AD275" i="1"/>
  <c r="AA275" i="1"/>
  <c r="AH275" i="1" l="1"/>
  <c r="W276" i="1" s="1"/>
  <c r="AI275" i="1"/>
  <c r="U275" i="1"/>
  <c r="AE276" i="1" s="1"/>
  <c r="X275" i="1"/>
  <c r="Z276" i="1"/>
  <c r="AC276" i="1"/>
  <c r="Y276" i="1" l="1"/>
  <c r="AB276" i="1"/>
  <c r="X276" i="1"/>
  <c r="AG276" i="1"/>
  <c r="V276" i="1"/>
  <c r="AF277" i="1" s="1"/>
  <c r="U276" i="1"/>
  <c r="Y277" i="1" s="1"/>
  <c r="AD276" i="1"/>
  <c r="AA276" i="1"/>
  <c r="AH276" i="1" s="1"/>
  <c r="AC277" i="1" l="1"/>
  <c r="AI276" i="1"/>
  <c r="W277" i="1"/>
  <c r="AE277" i="1"/>
  <c r="AG277" i="1" s="1"/>
  <c r="AB277" i="1"/>
  <c r="AD277" i="1" s="1"/>
  <c r="Z277" i="1"/>
  <c r="AA277" i="1" l="1"/>
  <c r="AH277" i="1" s="1"/>
  <c r="W278" i="1" s="1"/>
  <c r="X277" i="1"/>
  <c r="V277" i="1"/>
  <c r="AF278" i="1" s="1"/>
  <c r="U277" i="1"/>
  <c r="AI277" i="1" l="1"/>
  <c r="X278" i="1" s="1"/>
  <c r="U278" i="1"/>
  <c r="Y279" i="1" s="1"/>
  <c r="AE278" i="1"/>
  <c r="AB278" i="1"/>
  <c r="Y278" i="1"/>
  <c r="AC278" i="1"/>
  <c r="Z278" i="1"/>
  <c r="AB279" i="1" l="1"/>
  <c r="AG278" i="1"/>
  <c r="V278" i="1"/>
  <c r="AF279" i="1" s="1"/>
  <c r="AE279" i="1"/>
  <c r="AD278" i="1"/>
  <c r="AA278" i="1"/>
  <c r="Z279" i="1" l="1"/>
  <c r="AA279" i="1" s="1"/>
  <c r="AC279" i="1"/>
  <c r="AD279" i="1" s="1"/>
  <c r="AG279" i="1"/>
  <c r="AH278" i="1"/>
  <c r="W279" i="1" s="1"/>
  <c r="AI278" i="1"/>
  <c r="V279" i="1" s="1"/>
  <c r="AF280" i="1" s="1"/>
  <c r="AH279" i="1" l="1"/>
  <c r="W280" i="1" s="1"/>
  <c r="AI279" i="1"/>
  <c r="U279" i="1"/>
  <c r="X279" i="1"/>
  <c r="Z280" i="1"/>
  <c r="X280" i="1" l="1"/>
  <c r="V280" i="1"/>
  <c r="AF281" i="1" s="1"/>
  <c r="U280" i="1"/>
  <c r="AE281" i="1" s="1"/>
  <c r="AC280" i="1"/>
  <c r="AB280" i="1"/>
  <c r="AE280" i="1"/>
  <c r="AG280" i="1" s="1"/>
  <c r="Y280" i="1"/>
  <c r="AC281" i="1"/>
  <c r="Z281" i="1" l="1"/>
  <c r="AG281" i="1"/>
  <c r="AD280" i="1"/>
  <c r="AA280" i="1"/>
  <c r="Y281" i="1"/>
  <c r="AB281" i="1"/>
  <c r="AD281" i="1" s="1"/>
  <c r="AI280" i="1" l="1"/>
  <c r="V281" i="1" s="1"/>
  <c r="AF282" i="1" s="1"/>
  <c r="AH280" i="1"/>
  <c r="W281" i="1" s="1"/>
  <c r="AA281" i="1"/>
  <c r="AH281" i="1" l="1"/>
  <c r="W282" i="1" s="1"/>
  <c r="AI281" i="1"/>
  <c r="U281" i="1"/>
  <c r="AB282" i="1" s="1"/>
  <c r="X281" i="1"/>
  <c r="X282" i="1" l="1"/>
  <c r="Y282" i="1"/>
  <c r="V282" i="1"/>
  <c r="AF283" i="1" s="1"/>
  <c r="U282" i="1"/>
  <c r="AB283" i="1" s="1"/>
  <c r="AE282" i="1"/>
  <c r="AG282" i="1" s="1"/>
  <c r="AC282" i="1"/>
  <c r="AD282" i="1" s="1"/>
  <c r="Z282" i="1"/>
  <c r="AE283" i="1" l="1"/>
  <c r="Y283" i="1"/>
  <c r="AA282" i="1"/>
  <c r="AI282" i="1" s="1"/>
  <c r="AC283" i="1"/>
  <c r="AD283" i="1" s="1"/>
  <c r="Z283" i="1"/>
  <c r="AG283" i="1" l="1"/>
  <c r="AH282" i="1"/>
  <c r="W283" i="1" s="1"/>
  <c r="AA283" i="1"/>
  <c r="AH283" i="1" s="1"/>
  <c r="X283" i="1"/>
  <c r="V283" i="1"/>
  <c r="AF284" i="1" s="1"/>
  <c r="AI283" i="1" l="1"/>
  <c r="X284" i="1" s="1"/>
  <c r="W284" i="1"/>
  <c r="U283" i="1"/>
  <c r="V284" i="1" l="1"/>
  <c r="AF285" i="1" s="1"/>
  <c r="U284" i="1"/>
  <c r="AC284" i="1"/>
  <c r="Z284" i="1"/>
  <c r="AB284" i="1"/>
  <c r="Y284" i="1"/>
  <c r="AE284" i="1"/>
  <c r="AG284" i="1" s="1"/>
  <c r="AD284" i="1" l="1"/>
  <c r="AA284" i="1"/>
  <c r="AH284" i="1" s="1"/>
  <c r="AB285" i="1"/>
  <c r="AE285" i="1"/>
  <c r="AG285" i="1" s="1"/>
  <c r="Y285" i="1"/>
  <c r="Z285" i="1"/>
  <c r="AC285" i="1"/>
  <c r="AI284" i="1" l="1"/>
  <c r="V285" i="1" s="1"/>
  <c r="AF286" i="1" s="1"/>
  <c r="W285" i="1"/>
  <c r="AA285" i="1"/>
  <c r="AD285" i="1"/>
  <c r="AH285" i="1" l="1"/>
  <c r="W286" i="1" s="1"/>
  <c r="AI285" i="1"/>
  <c r="U285" i="1"/>
  <c r="X285" i="1"/>
  <c r="Z286" i="1"/>
  <c r="AC286" i="1"/>
  <c r="X286" i="1" l="1"/>
  <c r="V286" i="1"/>
  <c r="AF287" i="1" s="1"/>
  <c r="U286" i="1"/>
  <c r="Y287" i="1" s="1"/>
  <c r="Y286" i="1"/>
  <c r="AA286" i="1" s="1"/>
  <c r="AE286" i="1"/>
  <c r="AG286" i="1" s="1"/>
  <c r="AB286" i="1"/>
  <c r="AD286" i="1" s="1"/>
  <c r="Z287" i="1"/>
  <c r="AC287" i="1"/>
  <c r="AI286" i="1" l="1"/>
  <c r="AB287" i="1"/>
  <c r="AD287" i="1" s="1"/>
  <c r="AH286" i="1"/>
  <c r="W287" i="1" s="1"/>
  <c r="AE287" i="1"/>
  <c r="AG287" i="1" s="1"/>
  <c r="AA287" i="1"/>
  <c r="AH287" i="1" l="1"/>
  <c r="W288" i="1" s="1"/>
  <c r="AI287" i="1"/>
  <c r="X287" i="1"/>
  <c r="V287" i="1"/>
  <c r="AF288" i="1" s="1"/>
  <c r="U287" i="1"/>
  <c r="X288" i="1" l="1"/>
  <c r="V288" i="1"/>
  <c r="AF289" i="1" s="1"/>
  <c r="U288" i="1"/>
  <c r="Y288" i="1"/>
  <c r="AE288" i="1"/>
  <c r="AB288" i="1"/>
  <c r="AC288" i="1"/>
  <c r="Z288" i="1"/>
  <c r="Z289" i="1" l="1"/>
  <c r="AG288" i="1"/>
  <c r="AD288" i="1"/>
  <c r="AA288" i="1"/>
  <c r="AB289" i="1"/>
  <c r="Y289" i="1"/>
  <c r="AE289" i="1"/>
  <c r="AC289" i="1"/>
  <c r="AD289" i="1" s="1"/>
  <c r="AH288" i="1" l="1"/>
  <c r="W289" i="1" s="1"/>
  <c r="AG289" i="1"/>
  <c r="AI288" i="1"/>
  <c r="X289" i="1" s="1"/>
  <c r="AA289" i="1"/>
  <c r="AH289" i="1" l="1"/>
  <c r="W290" i="1" s="1"/>
  <c r="AI289" i="1"/>
  <c r="X290" i="1" s="1"/>
  <c r="U289" i="1"/>
  <c r="V289" i="1"/>
  <c r="AF290" i="1" s="1"/>
  <c r="U290" i="1" l="1"/>
  <c r="V290" i="1"/>
  <c r="AF291" i="1" s="1"/>
  <c r="AC290" i="1"/>
  <c r="Z290" i="1"/>
  <c r="AE290" i="1"/>
  <c r="AB290" i="1"/>
  <c r="Y290" i="1"/>
  <c r="AG290" i="1" l="1"/>
  <c r="AA290" i="1"/>
  <c r="AD290" i="1"/>
  <c r="Y291" i="1"/>
  <c r="AE291" i="1"/>
  <c r="AB291" i="1"/>
  <c r="AC291" i="1"/>
  <c r="Z291" i="1"/>
  <c r="AH290" i="1" l="1"/>
  <c r="W291" i="1" s="1"/>
  <c r="AG291" i="1"/>
  <c r="AI290" i="1"/>
  <c r="V291" i="1" s="1"/>
  <c r="AF292" i="1" s="1"/>
  <c r="AD291" i="1"/>
  <c r="AA291" i="1"/>
  <c r="AH291" i="1" s="1"/>
  <c r="AI291" i="1" l="1"/>
  <c r="W292" i="1"/>
  <c r="U291" i="1"/>
  <c r="X291" i="1"/>
  <c r="AC292" i="1"/>
  <c r="Z292" i="1"/>
  <c r="X292" i="1" l="1"/>
  <c r="V292" i="1"/>
  <c r="AF293" i="1" s="1"/>
  <c r="U292" i="1"/>
  <c r="AE292" i="1"/>
  <c r="AG292" i="1" s="1"/>
  <c r="AB292" i="1"/>
  <c r="AD292" i="1" s="1"/>
  <c r="Y292" i="1"/>
  <c r="AC293" i="1"/>
  <c r="Z293" i="1"/>
  <c r="Y293" i="1" l="1"/>
  <c r="AB293" i="1"/>
  <c r="AD293" i="1" s="1"/>
  <c r="AE293" i="1"/>
  <c r="AG293" i="1" s="1"/>
  <c r="AA292" i="1"/>
  <c r="AH292" i="1" l="1"/>
  <c r="W293" i="1" s="1"/>
  <c r="AI292" i="1"/>
  <c r="V293" i="1" s="1"/>
  <c r="AF294" i="1" s="1"/>
  <c r="AA293" i="1"/>
  <c r="AH293" i="1" l="1"/>
  <c r="W294" i="1" s="1"/>
  <c r="AI293" i="1"/>
  <c r="U293" i="1"/>
  <c r="AE294" i="1" s="1"/>
  <c r="X293" i="1"/>
  <c r="Y294" i="1" l="1"/>
  <c r="AB294" i="1"/>
  <c r="X294" i="1"/>
  <c r="V294" i="1"/>
  <c r="AF295" i="1" s="1"/>
  <c r="U294" i="1"/>
  <c r="AB295" i="1" s="1"/>
  <c r="AG294" i="1"/>
  <c r="Z294" i="1"/>
  <c r="AC294" i="1"/>
  <c r="AD294" i="1" s="1"/>
  <c r="Y295" i="1" l="1"/>
  <c r="AE295" i="1"/>
  <c r="AG295" i="1" s="1"/>
  <c r="AC295" i="1"/>
  <c r="AD295" i="1" s="1"/>
  <c r="Z295" i="1"/>
  <c r="AA294" i="1"/>
  <c r="AH294" i="1" s="1"/>
  <c r="AA295" i="1" l="1"/>
  <c r="AI294" i="1"/>
  <c r="V295" i="1" s="1"/>
  <c r="AF296" i="1" s="1"/>
  <c r="W295" i="1"/>
  <c r="AI295" i="1"/>
  <c r="AH295" i="1" l="1"/>
  <c r="W296" i="1" s="1"/>
  <c r="U295" i="1"/>
  <c r="X295" i="1"/>
  <c r="X296" i="1" s="1"/>
  <c r="V296" i="1" l="1"/>
  <c r="AF297" i="1" s="1"/>
  <c r="U296" i="1"/>
  <c r="Z296" i="1"/>
  <c r="AC296" i="1"/>
  <c r="AE296" i="1"/>
  <c r="AG296" i="1" s="1"/>
  <c r="AB296" i="1"/>
  <c r="Y296" i="1"/>
  <c r="AD296" i="1" l="1"/>
  <c r="AE297" i="1"/>
  <c r="AB297" i="1"/>
  <c r="Y297" i="1"/>
  <c r="AA296" i="1"/>
  <c r="AH296" i="1" s="1"/>
  <c r="AC297" i="1"/>
  <c r="AD297" i="1" s="1"/>
  <c r="Z297" i="1"/>
  <c r="AG297" i="1" l="1"/>
  <c r="AI296" i="1"/>
  <c r="V297" i="1" s="1"/>
  <c r="AF298" i="1" s="1"/>
  <c r="W297" i="1"/>
  <c r="AA297" i="1"/>
  <c r="AH297" i="1" s="1"/>
  <c r="AI297" i="1" l="1"/>
  <c r="W298" i="1"/>
  <c r="U297" i="1"/>
  <c r="X297" i="1"/>
  <c r="AC298" i="1"/>
  <c r="Z298" i="1"/>
  <c r="X298" i="1" l="1"/>
  <c r="U298" i="1"/>
  <c r="V298" i="1"/>
  <c r="AF299" i="1" s="1"/>
  <c r="AE298" i="1"/>
  <c r="AG298" i="1" s="1"/>
  <c r="AB298" i="1"/>
  <c r="AD298" i="1" s="1"/>
  <c r="Y298" i="1"/>
  <c r="AB299" i="1" l="1"/>
  <c r="AE299" i="1"/>
  <c r="Y299" i="1"/>
  <c r="Z299" i="1"/>
  <c r="AC299" i="1"/>
  <c r="AA298" i="1"/>
  <c r="AI298" i="1" s="1"/>
  <c r="AD299" i="1" l="1"/>
  <c r="AG299" i="1"/>
  <c r="AH298" i="1"/>
  <c r="W299" i="1" s="1"/>
  <c r="V299" i="1"/>
  <c r="AF300" i="1" s="1"/>
  <c r="AA299" i="1"/>
  <c r="AH299" i="1" s="1"/>
  <c r="AI299" i="1" l="1"/>
  <c r="W300" i="1"/>
  <c r="U299" i="1"/>
  <c r="X299" i="1"/>
  <c r="X300" i="1" l="1"/>
  <c r="V300" i="1"/>
  <c r="AF301" i="1" s="1"/>
  <c r="U300" i="1"/>
  <c r="Z300" i="1"/>
  <c r="AC300" i="1"/>
  <c r="AE300" i="1"/>
  <c r="AG300" i="1" s="1"/>
  <c r="Y300" i="1"/>
  <c r="AB300" i="1"/>
  <c r="AA300" i="1" l="1"/>
  <c r="Z301" i="1"/>
  <c r="AC301" i="1"/>
  <c r="AB301" i="1"/>
  <c r="AD301" i="1" s="1"/>
  <c r="AE301" i="1"/>
  <c r="AG301" i="1" s="1"/>
  <c r="Y301" i="1"/>
  <c r="AD300" i="1"/>
  <c r="AH300" i="1" l="1"/>
  <c r="W301" i="1" s="1"/>
  <c r="AI300" i="1"/>
  <c r="AA301" i="1"/>
  <c r="AH301" i="1" s="1"/>
  <c r="AI301" i="1" l="1"/>
  <c r="W302" i="1"/>
  <c r="U301" i="1"/>
  <c r="Y302" i="1" s="1"/>
  <c r="X301" i="1"/>
  <c r="V301" i="1"/>
  <c r="AF302" i="1" s="1"/>
  <c r="X302" i="1" l="1"/>
  <c r="U302" i="1"/>
  <c r="V302" i="1"/>
  <c r="AF303" i="1" s="1"/>
  <c r="AC302" i="1"/>
  <c r="Z302" i="1"/>
  <c r="AE302" i="1"/>
  <c r="AG302" i="1" s="1"/>
  <c r="Y303" i="1"/>
  <c r="AB302" i="1"/>
  <c r="AD302" i="1" s="1"/>
  <c r="AA302" i="1" l="1"/>
  <c r="AH302" i="1" s="1"/>
  <c r="AE303" i="1"/>
  <c r="AB303" i="1"/>
  <c r="AC303" i="1"/>
  <c r="Z303" i="1"/>
  <c r="AG303" i="1" l="1"/>
  <c r="AI302" i="1"/>
  <c r="X303" i="1" s="1"/>
  <c r="W303" i="1"/>
  <c r="AD303" i="1"/>
  <c r="AA303" i="1"/>
  <c r="AH303" i="1" s="1"/>
  <c r="AI303" i="1" l="1"/>
  <c r="X304" i="1" s="1"/>
  <c r="V303" i="1"/>
  <c r="AF304" i="1" s="1"/>
  <c r="W304" i="1"/>
  <c r="U303" i="1"/>
  <c r="Y304" i="1" s="1"/>
  <c r="AC304" i="1"/>
  <c r="Z304" i="1"/>
  <c r="AA304" i="1" l="1"/>
  <c r="AE304" i="1"/>
  <c r="AG304" i="1" s="1"/>
  <c r="AB304" i="1"/>
  <c r="U304" i="1"/>
  <c r="AB305" i="1" s="1"/>
  <c r="V304" i="1"/>
  <c r="AF305" i="1" s="1"/>
  <c r="Z305" i="1" l="1"/>
  <c r="AC305" i="1"/>
  <c r="AD305" i="1" s="1"/>
  <c r="AE305" i="1"/>
  <c r="AG305" i="1" s="1"/>
  <c r="AD304" i="1"/>
  <c r="Y305" i="1"/>
  <c r="AI304" i="1" l="1"/>
  <c r="X305" i="1" s="1"/>
  <c r="AH304" i="1"/>
  <c r="AA305" i="1"/>
  <c r="AH305" i="1" s="1"/>
  <c r="V305" i="1" l="1"/>
  <c r="AF306" i="1" s="1"/>
  <c r="AI305" i="1"/>
  <c r="W305" i="1"/>
  <c r="U305" i="1"/>
  <c r="AC306" i="1" l="1"/>
  <c r="Z306" i="1"/>
  <c r="X306" i="1"/>
  <c r="V306" i="1"/>
  <c r="AF307" i="1" s="1"/>
  <c r="U306" i="1"/>
  <c r="AB306" i="1"/>
  <c r="AD306" i="1" s="1"/>
  <c r="AE306" i="1"/>
  <c r="AG306" i="1" s="1"/>
  <c r="Y306" i="1"/>
  <c r="W306" i="1"/>
  <c r="AA306" i="1" l="1"/>
  <c r="AH306" i="1" s="1"/>
  <c r="Y307" i="1"/>
  <c r="AB307" i="1"/>
  <c r="AE307" i="1"/>
  <c r="AC307" i="1"/>
  <c r="Z307" i="1"/>
  <c r="AG307" i="1" l="1"/>
  <c r="AI306" i="1"/>
  <c r="AA307" i="1"/>
  <c r="AD307" i="1"/>
  <c r="AH307" i="1" l="1"/>
  <c r="AI307" i="1"/>
  <c r="W307" i="1"/>
  <c r="U307" i="1"/>
  <c r="X307" i="1"/>
  <c r="V307" i="1"/>
  <c r="AF308" i="1" s="1"/>
  <c r="X308" i="1" l="1"/>
  <c r="Z308" i="1"/>
  <c r="AC308" i="1"/>
  <c r="V308" i="1"/>
  <c r="AF309" i="1" s="1"/>
  <c r="AE308" i="1"/>
  <c r="AG308" i="1" s="1"/>
  <c r="AB308" i="1"/>
  <c r="AD308" i="1" s="1"/>
  <c r="Y308" i="1"/>
  <c r="U308" i="1"/>
  <c r="W308" i="1"/>
  <c r="AB309" i="1" l="1"/>
  <c r="AE309" i="1"/>
  <c r="Y309" i="1"/>
  <c r="AA308" i="1"/>
  <c r="AI308" i="1" s="1"/>
  <c r="Z309" i="1"/>
  <c r="AC309" i="1"/>
  <c r="AD309" i="1" s="1"/>
  <c r="AG309" i="1" l="1"/>
  <c r="AH308" i="1"/>
  <c r="AA309" i="1"/>
  <c r="X309" i="1"/>
  <c r="V309" i="1"/>
  <c r="AF310" i="1" s="1"/>
  <c r="AI309" i="1" l="1"/>
  <c r="X310" i="1" s="1"/>
  <c r="AH309" i="1"/>
  <c r="AC310" i="1"/>
  <c r="Z310" i="1"/>
  <c r="W309" i="1"/>
  <c r="U309" i="1"/>
  <c r="V310" i="1" l="1"/>
  <c r="AF311" i="1" s="1"/>
  <c r="U310" i="1"/>
  <c r="Y310" i="1"/>
  <c r="AE310" i="1"/>
  <c r="AG310" i="1" s="1"/>
  <c r="AB310" i="1"/>
  <c r="AD310" i="1" s="1"/>
  <c r="W310" i="1"/>
  <c r="Z311" i="1"/>
  <c r="AC311" i="1"/>
  <c r="AA310" i="1" l="1"/>
  <c r="AB311" i="1"/>
  <c r="AD311" i="1" s="1"/>
  <c r="AE311" i="1"/>
  <c r="AG311" i="1" s="1"/>
  <c r="Y311" i="1"/>
  <c r="AH310" i="1" l="1"/>
  <c r="AI310" i="1"/>
  <c r="AA311" i="1"/>
  <c r="AH311" i="1" l="1"/>
  <c r="AI311" i="1"/>
  <c r="U311" i="1"/>
  <c r="W311" i="1"/>
  <c r="V311" i="1"/>
  <c r="AF312" i="1" s="1"/>
  <c r="X311" i="1"/>
  <c r="W312" i="1" l="1"/>
  <c r="Z312" i="1"/>
  <c r="AC312" i="1"/>
  <c r="AE312" i="1"/>
  <c r="AG312" i="1" s="1"/>
  <c r="AB312" i="1"/>
  <c r="AD312" i="1" s="1"/>
  <c r="Y312" i="1"/>
  <c r="U312" i="1"/>
  <c r="V312" i="1"/>
  <c r="AF313" i="1" s="1"/>
  <c r="X312" i="1"/>
  <c r="Z313" i="1" l="1"/>
  <c r="AC313" i="1"/>
  <c r="Y313" i="1"/>
  <c r="AE313" i="1"/>
  <c r="AG313" i="1" s="1"/>
  <c r="AB313" i="1"/>
  <c r="AA312" i="1"/>
  <c r="AI312" i="1" l="1"/>
  <c r="X313" i="1" s="1"/>
  <c r="AH312" i="1"/>
  <c r="AD313" i="1"/>
  <c r="AA313" i="1"/>
  <c r="AH313" i="1" s="1"/>
  <c r="V313" i="1" l="1"/>
  <c r="AF314" i="1" s="1"/>
  <c r="AI313" i="1"/>
  <c r="X314" i="1" s="1"/>
  <c r="W313" i="1"/>
  <c r="U313" i="1"/>
  <c r="Z314" i="1" l="1"/>
  <c r="AC314" i="1"/>
  <c r="W314" i="1"/>
  <c r="U314" i="1"/>
  <c r="AB314" i="1"/>
  <c r="AE314" i="1"/>
  <c r="AG314" i="1" s="1"/>
  <c r="Y314" i="1"/>
  <c r="V314" i="1"/>
  <c r="AF315" i="1" s="1"/>
  <c r="AD314" i="1" l="1"/>
  <c r="AA314" i="1"/>
  <c r="Z315" i="1"/>
  <c r="AC315" i="1"/>
  <c r="AE315" i="1"/>
  <c r="AG315" i="1" s="1"/>
  <c r="AB315" i="1"/>
  <c r="AD315" i="1" s="1"/>
  <c r="Y315" i="1"/>
  <c r="AH314" i="1" l="1"/>
  <c r="U315" i="1" s="1"/>
  <c r="AI314" i="1"/>
  <c r="AA315" i="1"/>
  <c r="AH315" i="1" s="1"/>
  <c r="AI315" i="1" l="1"/>
  <c r="AE316" i="1"/>
  <c r="Y316" i="1"/>
  <c r="AB316" i="1"/>
  <c r="V315" i="1"/>
  <c r="AF316" i="1" s="1"/>
  <c r="X315" i="1"/>
  <c r="W315" i="1"/>
  <c r="X316" i="1" l="1"/>
  <c r="U316" i="1"/>
  <c r="Y317" i="1" s="1"/>
  <c r="AG316" i="1"/>
  <c r="AC316" i="1"/>
  <c r="Z316" i="1"/>
  <c r="V316" i="1"/>
  <c r="AF317" i="1" s="1"/>
  <c r="AD316" i="1"/>
  <c r="AA316" i="1"/>
  <c r="W316" i="1"/>
  <c r="AI316" i="1" l="1"/>
  <c r="X317" i="1" s="1"/>
  <c r="AH316" i="1"/>
  <c r="U317" i="1" s="1"/>
  <c r="AE317" i="1"/>
  <c r="AB317" i="1"/>
  <c r="Z317" i="1"/>
  <c r="AC317" i="1"/>
  <c r="AG317" i="1" l="1"/>
  <c r="AE318" i="1"/>
  <c r="AB318" i="1"/>
  <c r="Y318" i="1"/>
  <c r="W317" i="1"/>
  <c r="AD317" i="1"/>
  <c r="AA317" i="1"/>
  <c r="V317" i="1"/>
  <c r="AF318" i="1" s="1"/>
  <c r="AH317" i="1" l="1"/>
  <c r="AI317" i="1"/>
  <c r="X318" i="1" s="1"/>
  <c r="Z318" i="1"/>
  <c r="AC318" i="1"/>
  <c r="AD318" i="1" s="1"/>
  <c r="AG318" i="1"/>
  <c r="V318" i="1" l="1"/>
  <c r="AF319" i="1" s="1"/>
  <c r="U318" i="1"/>
  <c r="W318" i="1"/>
  <c r="AA318" i="1"/>
  <c r="AH318" i="1" s="1"/>
  <c r="AI318" i="1" l="1"/>
  <c r="X319" i="1" s="1"/>
  <c r="W319" i="1"/>
  <c r="Y319" i="1"/>
  <c r="AE319" i="1"/>
  <c r="AB319" i="1"/>
  <c r="AC319" i="1"/>
  <c r="Z319" i="1"/>
  <c r="AG319" i="1" l="1"/>
  <c r="AD319" i="1"/>
  <c r="U319" i="1"/>
  <c r="AA319" i="1"/>
  <c r="AH319" i="1" s="1"/>
  <c r="V319" i="1"/>
  <c r="AF320" i="1" s="1"/>
  <c r="AI319" i="1" l="1"/>
  <c r="X320" i="1" s="1"/>
  <c r="AC320" i="1"/>
  <c r="Z320" i="1"/>
  <c r="Y320" i="1"/>
  <c r="AB320" i="1"/>
  <c r="AE320" i="1"/>
  <c r="AG320" i="1" s="1"/>
  <c r="W320" i="1"/>
  <c r="V320" i="1" l="1"/>
  <c r="AF321" i="1" s="1"/>
  <c r="U320" i="1"/>
  <c r="AB321" i="1" s="1"/>
  <c r="AD320" i="1"/>
  <c r="AA320" i="1"/>
  <c r="Z321" i="1" l="1"/>
  <c r="AC321" i="1"/>
  <c r="AI320" i="1"/>
  <c r="X321" i="1" s="1"/>
  <c r="AH320" i="1"/>
  <c r="Y321" i="1"/>
  <c r="AA321" i="1" s="1"/>
  <c r="AE321" i="1"/>
  <c r="AG321" i="1" s="1"/>
  <c r="AD321" i="1"/>
  <c r="V321" i="1" l="1"/>
  <c r="AF322" i="1" s="1"/>
  <c r="AI321" i="1"/>
  <c r="AH321" i="1"/>
  <c r="W321" i="1"/>
  <c r="U321" i="1"/>
  <c r="AC322" i="1" l="1"/>
  <c r="Z322" i="1"/>
  <c r="Y322" i="1"/>
  <c r="AE322" i="1"/>
  <c r="AG322" i="1" s="1"/>
  <c r="AB322" i="1"/>
  <c r="AD322" i="1" s="1"/>
  <c r="U322" i="1"/>
  <c r="W322" i="1"/>
  <c r="V322" i="1"/>
  <c r="AF323" i="1" s="1"/>
  <c r="X322" i="1"/>
  <c r="Y323" i="1" l="1"/>
  <c r="AE323" i="1"/>
  <c r="AB323" i="1"/>
  <c r="Z323" i="1"/>
  <c r="AC323" i="1"/>
  <c r="AD323" i="1" s="1"/>
  <c r="AA322" i="1"/>
  <c r="AG323" i="1" l="1"/>
  <c r="AH322" i="1"/>
  <c r="U323" i="1" s="1"/>
  <c r="AI322" i="1"/>
  <c r="AA323" i="1"/>
  <c r="AH323" i="1" s="1"/>
  <c r="W323" i="1" l="1"/>
  <c r="AI323" i="1"/>
  <c r="X323" i="1"/>
  <c r="V323" i="1"/>
  <c r="AF324" i="1" s="1"/>
  <c r="U324" i="1"/>
  <c r="Y325" i="1" s="1"/>
  <c r="AE324" i="1"/>
  <c r="AB324" i="1"/>
  <c r="Y324" i="1"/>
  <c r="AB325" i="1" l="1"/>
  <c r="W324" i="1"/>
  <c r="AG324" i="1"/>
  <c r="AC324" i="1"/>
  <c r="AD324" i="1" s="1"/>
  <c r="Z324" i="1"/>
  <c r="V324" i="1"/>
  <c r="AF325" i="1" s="1"/>
  <c r="AE325" i="1"/>
  <c r="X324" i="1"/>
  <c r="Z325" i="1" l="1"/>
  <c r="AG325" i="1"/>
  <c r="AC325" i="1"/>
  <c r="AD325" i="1" s="1"/>
  <c r="AA324" i="1"/>
  <c r="AH324" i="1" s="1"/>
  <c r="AA325" i="1" l="1"/>
  <c r="AI325" i="1" s="1"/>
  <c r="AI324" i="1"/>
  <c r="AH325" i="1" l="1"/>
  <c r="W325" i="1"/>
  <c r="U325" i="1"/>
  <c r="V325" i="1"/>
  <c r="AF326" i="1" s="1"/>
  <c r="X325" i="1"/>
  <c r="X326" i="1" s="1"/>
  <c r="W326" i="1" l="1"/>
  <c r="Z326" i="1"/>
  <c r="AC326" i="1"/>
  <c r="V326" i="1"/>
  <c r="AF327" i="1" s="1"/>
  <c r="AE326" i="1"/>
  <c r="AG326" i="1" s="1"/>
  <c r="AB326" i="1"/>
  <c r="AD326" i="1" s="1"/>
  <c r="Y326" i="1"/>
  <c r="U326" i="1"/>
  <c r="AA326" i="1" l="1"/>
  <c r="AH326" i="1" s="1"/>
  <c r="Y327" i="1"/>
  <c r="AB327" i="1"/>
  <c r="AE327" i="1"/>
  <c r="AC327" i="1"/>
  <c r="Z327" i="1"/>
  <c r="AG327" i="1" l="1"/>
  <c r="AI326" i="1"/>
  <c r="X327" i="1" s="1"/>
  <c r="AD327" i="1"/>
  <c r="W327" i="1"/>
  <c r="U327" i="1"/>
  <c r="AA327" i="1"/>
  <c r="V327" i="1" l="1"/>
  <c r="AF328" i="1" s="1"/>
  <c r="AI327" i="1"/>
  <c r="X328" i="1" s="1"/>
  <c r="AH327" i="1"/>
  <c r="W328" i="1" s="1"/>
  <c r="Z328" i="1"/>
  <c r="AC328" i="1"/>
  <c r="AB328" i="1"/>
  <c r="AE328" i="1"/>
  <c r="AG328" i="1" s="1"/>
  <c r="Y328" i="1"/>
  <c r="AD328" i="1" l="1"/>
  <c r="V328" i="1"/>
  <c r="AF329" i="1" s="1"/>
  <c r="U328" i="1"/>
  <c r="AE329" i="1" s="1"/>
  <c r="AA328" i="1"/>
  <c r="AC329" i="1" l="1"/>
  <c r="Z329" i="1"/>
  <c r="AG329" i="1"/>
  <c r="AI328" i="1"/>
  <c r="X329" i="1" s="1"/>
  <c r="AH328" i="1"/>
  <c r="AB329" i="1"/>
  <c r="AD329" i="1" s="1"/>
  <c r="Y329" i="1"/>
  <c r="V329" i="1" l="1"/>
  <c r="AF330" i="1" s="1"/>
  <c r="AA329" i="1"/>
  <c r="W329" i="1"/>
  <c r="U329" i="1"/>
  <c r="Z330" i="1" l="1"/>
  <c r="AC330" i="1"/>
  <c r="AH329" i="1"/>
  <c r="W330" i="1" s="1"/>
  <c r="AI329" i="1"/>
  <c r="X330" i="1" s="1"/>
  <c r="Y330" i="1"/>
  <c r="AB330" i="1"/>
  <c r="AD330" i="1" s="1"/>
  <c r="AE330" i="1"/>
  <c r="AG330" i="1" s="1"/>
  <c r="U330" i="1" l="1"/>
  <c r="Y331" i="1" s="1"/>
  <c r="V330" i="1"/>
  <c r="AF331" i="1" s="1"/>
  <c r="AA330" i="1"/>
  <c r="AB331" i="1" l="1"/>
  <c r="AE331" i="1"/>
  <c r="AC331" i="1"/>
  <c r="AD331" i="1" s="1"/>
  <c r="Z331" i="1"/>
  <c r="AG331" i="1"/>
  <c r="AH330" i="1"/>
  <c r="AI330" i="1"/>
  <c r="AA331" i="1"/>
  <c r="AH331" i="1" l="1"/>
  <c r="AI331" i="1"/>
  <c r="U331" i="1"/>
  <c r="W331" i="1"/>
  <c r="X331" i="1"/>
  <c r="V331" i="1"/>
  <c r="AF332" i="1" s="1"/>
  <c r="Z332" i="1" l="1"/>
  <c r="AC332" i="1"/>
  <c r="V332" i="1"/>
  <c r="AF333" i="1" s="1"/>
  <c r="W332" i="1"/>
  <c r="AE332" i="1"/>
  <c r="AG332" i="1" s="1"/>
  <c r="AB332" i="1"/>
  <c r="AD332" i="1" s="1"/>
  <c r="Y332" i="1"/>
  <c r="U332" i="1"/>
  <c r="X332" i="1"/>
  <c r="AC333" i="1" l="1"/>
  <c r="Z333" i="1"/>
  <c r="AE333" i="1"/>
  <c r="AG333" i="1" s="1"/>
  <c r="AB333" i="1"/>
  <c r="AD333" i="1" s="1"/>
  <c r="Y333" i="1"/>
  <c r="AA332" i="1"/>
  <c r="AH332" i="1" s="1"/>
  <c r="AI332" i="1" l="1"/>
  <c r="AA333" i="1"/>
  <c r="AH333" i="1" s="1"/>
  <c r="AI333" i="1" l="1"/>
  <c r="U333" i="1"/>
  <c r="W333" i="1"/>
  <c r="X333" i="1"/>
  <c r="V333" i="1"/>
  <c r="AF334" i="1" s="1"/>
  <c r="Z334" i="1" l="1"/>
  <c r="AC334" i="1"/>
  <c r="V334" i="1"/>
  <c r="AF335" i="1" s="1"/>
  <c r="W334" i="1"/>
  <c r="AB334" i="1"/>
  <c r="AD334" i="1" s="1"/>
  <c r="U334" i="1"/>
  <c r="AE334" i="1"/>
  <c r="AG334" i="1" s="1"/>
  <c r="Y334" i="1"/>
  <c r="X334" i="1"/>
  <c r="AA334" i="1" l="1"/>
  <c r="AH334" i="1" s="1"/>
  <c r="Y335" i="1"/>
  <c r="AB335" i="1"/>
  <c r="AE335" i="1"/>
  <c r="Z335" i="1"/>
  <c r="AC335" i="1"/>
  <c r="AD335" i="1" l="1"/>
  <c r="AG335" i="1"/>
  <c r="AI334" i="1"/>
  <c r="X335" i="1" s="1"/>
  <c r="AA335" i="1"/>
  <c r="AH335" i="1" s="1"/>
  <c r="V335" i="1" l="1"/>
  <c r="AI335" i="1"/>
  <c r="X336" i="1" s="1"/>
  <c r="U335" i="1"/>
  <c r="W335" i="1"/>
  <c r="Z336" i="1" l="1"/>
  <c r="AF336" i="1"/>
  <c r="AC336" i="1"/>
  <c r="W336" i="1"/>
  <c r="V336" i="1"/>
  <c r="AF337" i="1" s="1"/>
  <c r="AE336" i="1"/>
  <c r="AG336" i="1" s="1"/>
  <c r="Y336" i="1"/>
  <c r="U336" i="1"/>
  <c r="AB336" i="1"/>
  <c r="AD336" i="1" l="1"/>
  <c r="AA336" i="1"/>
  <c r="AB337" i="1"/>
  <c r="Y337" i="1"/>
  <c r="AE337" i="1"/>
  <c r="AG337" i="1" s="1"/>
  <c r="Z337" i="1"/>
  <c r="AC337" i="1"/>
  <c r="AD337" i="1" s="1"/>
  <c r="AH336" i="1" l="1"/>
  <c r="AI336" i="1"/>
  <c r="AA337" i="1"/>
  <c r="AI337" i="1" s="1"/>
  <c r="AH337" i="1" l="1"/>
  <c r="U337" i="1"/>
  <c r="W337" i="1"/>
  <c r="X337" i="1"/>
  <c r="X338" i="1" s="1"/>
  <c r="V337" i="1"/>
  <c r="AF338" i="1" s="1"/>
  <c r="U338" i="1" l="1"/>
  <c r="Y338" i="1"/>
  <c r="AE338" i="1"/>
  <c r="AG338" i="1" s="1"/>
  <c r="AB338" i="1"/>
  <c r="Z338" i="1"/>
  <c r="AC338" i="1"/>
  <c r="V338" i="1"/>
  <c r="AF339" i="1" s="1"/>
  <c r="W338" i="1"/>
  <c r="Z339" i="1" l="1"/>
  <c r="AC339" i="1"/>
  <c r="AD338" i="1"/>
  <c r="AB339" i="1"/>
  <c r="AD339" i="1" s="1"/>
  <c r="AE339" i="1"/>
  <c r="AG339" i="1" s="1"/>
  <c r="Y339" i="1"/>
  <c r="AA338" i="1"/>
  <c r="AH338" i="1" s="1"/>
  <c r="AI338" i="1" l="1"/>
  <c r="V339" i="1" s="1"/>
  <c r="AF340" i="1" s="1"/>
  <c r="AA339" i="1"/>
  <c r="AH339" i="1" s="1"/>
  <c r="AI339" i="1" l="1"/>
  <c r="X340" i="1" s="1"/>
  <c r="X339" i="1"/>
  <c r="W339" i="1"/>
  <c r="U339" i="1"/>
  <c r="AC340" i="1"/>
  <c r="Z340" i="1"/>
  <c r="V340" i="1" l="1"/>
  <c r="AF341" i="1" s="1"/>
  <c r="AE340" i="1"/>
  <c r="AG340" i="1" s="1"/>
  <c r="Y340" i="1"/>
  <c r="AB340" i="1"/>
  <c r="AD340" i="1" s="1"/>
  <c r="U340" i="1"/>
  <c r="W340" i="1"/>
  <c r="AC341" i="1" l="1"/>
  <c r="Z341" i="1"/>
  <c r="AA340" i="1"/>
  <c r="Y341" i="1"/>
  <c r="AB341" i="1"/>
  <c r="AD341" i="1" s="1"/>
  <c r="AE341" i="1"/>
  <c r="AG341" i="1" s="1"/>
  <c r="AH340" i="1" l="1"/>
  <c r="AI340" i="1"/>
  <c r="AA341" i="1"/>
  <c r="AH341" i="1" l="1"/>
  <c r="AI341" i="1"/>
  <c r="X341" i="1"/>
  <c r="V341" i="1"/>
  <c r="AF342" i="1" s="1"/>
  <c r="W341" i="1"/>
  <c r="U341" i="1"/>
  <c r="U342" i="1" l="1"/>
  <c r="Y342" i="1"/>
  <c r="AB342" i="1"/>
  <c r="AE342" i="1"/>
  <c r="W342" i="1"/>
  <c r="V342" i="1"/>
  <c r="AF343" i="1" s="1"/>
  <c r="Z342" i="1"/>
  <c r="AC342" i="1"/>
  <c r="X342" i="1"/>
  <c r="AG342" i="1" l="1"/>
  <c r="AD342" i="1"/>
  <c r="AA342" i="1"/>
  <c r="AH342" i="1" s="1"/>
  <c r="AC343" i="1"/>
  <c r="Z343" i="1"/>
  <c r="AB343" i="1"/>
  <c r="AE343" i="1"/>
  <c r="AG343" i="1" s="1"/>
  <c r="Y343" i="1"/>
  <c r="AD343" i="1" l="1"/>
  <c r="AI342" i="1"/>
  <c r="U343" i="1"/>
  <c r="AA343" i="1"/>
  <c r="AH343" i="1" s="1"/>
  <c r="AI343" i="1" l="1"/>
  <c r="X344" i="1" s="1"/>
  <c r="X343" i="1"/>
  <c r="V343" i="1"/>
  <c r="AF344" i="1" s="1"/>
  <c r="Y344" i="1"/>
  <c r="AE344" i="1"/>
  <c r="AB344" i="1"/>
  <c r="W343" i="1"/>
  <c r="W344" i="1" l="1"/>
  <c r="U344" i="1"/>
  <c r="V344" i="1"/>
  <c r="AF345" i="1" s="1"/>
  <c r="AG344" i="1"/>
  <c r="Z344" i="1"/>
  <c r="AC344" i="1"/>
  <c r="AD344" i="1" s="1"/>
  <c r="AA344" i="1" l="1"/>
  <c r="AH344" i="1" s="1"/>
  <c r="W345" i="1" s="1"/>
  <c r="AB345" i="1"/>
  <c r="Y345" i="1"/>
  <c r="AE345" i="1"/>
  <c r="Z345" i="1"/>
  <c r="AC345" i="1"/>
  <c r="AG345" i="1" l="1"/>
  <c r="AI344" i="1"/>
  <c r="X345" i="1" s="1"/>
  <c r="U345" i="1"/>
  <c r="AA345" i="1"/>
  <c r="AD345" i="1"/>
  <c r="AH345" i="1" l="1"/>
  <c r="W346" i="1" s="1"/>
  <c r="V345" i="1"/>
  <c r="AF346" i="1" s="1"/>
  <c r="AI345" i="1"/>
  <c r="AE346" i="1"/>
  <c r="AB346" i="1"/>
  <c r="Y346" i="1"/>
  <c r="Z346" i="1" l="1"/>
  <c r="AC346" i="1"/>
  <c r="AD346" i="1" s="1"/>
  <c r="AG346" i="1"/>
  <c r="AA346" i="1"/>
  <c r="U346" i="1"/>
  <c r="X346" i="1"/>
  <c r="V346" i="1"/>
  <c r="AF347" i="1" s="1"/>
  <c r="AH346" i="1" l="1"/>
  <c r="W347" i="1" s="1"/>
  <c r="AI346" i="1"/>
  <c r="V347" i="1" s="1"/>
  <c r="AF348" i="1" s="1"/>
  <c r="AE347" i="1"/>
  <c r="AB347" i="1"/>
  <c r="Y347" i="1"/>
  <c r="AC347" i="1"/>
  <c r="Z347" i="1"/>
  <c r="AG347" i="1" l="1"/>
  <c r="U347" i="1"/>
  <c r="Z348" i="1"/>
  <c r="AC348" i="1"/>
  <c r="AA347" i="1"/>
  <c r="X347" i="1"/>
  <c r="AD347" i="1"/>
  <c r="AH347" i="1" l="1"/>
  <c r="W348" i="1" s="1"/>
  <c r="AI347" i="1"/>
  <c r="V348" i="1" s="1"/>
  <c r="AF349" i="1" s="1"/>
  <c r="AE348" i="1"/>
  <c r="AG348" i="1" s="1"/>
  <c r="AB348" i="1"/>
  <c r="AD348" i="1" s="1"/>
  <c r="Y348" i="1"/>
  <c r="Z349" i="1" l="1"/>
  <c r="AC349" i="1"/>
  <c r="AA348" i="1"/>
  <c r="AI348" i="1" s="1"/>
  <c r="U348" i="1"/>
  <c r="X348" i="1"/>
  <c r="AH348" i="1" l="1"/>
  <c r="W349" i="1" s="1"/>
  <c r="Y349" i="1"/>
  <c r="AB349" i="1"/>
  <c r="AD349" i="1" s="1"/>
  <c r="AE349" i="1"/>
  <c r="AG349" i="1" s="1"/>
  <c r="X349" i="1"/>
  <c r="U349" i="1" l="1"/>
  <c r="AE350" i="1" s="1"/>
  <c r="V349" i="1"/>
  <c r="AF350" i="1" s="1"/>
  <c r="AA349" i="1"/>
  <c r="Y350" i="1" l="1"/>
  <c r="AB350" i="1"/>
  <c r="AH349" i="1"/>
  <c r="AI349" i="1"/>
  <c r="X350" i="1" s="1"/>
  <c r="AG350" i="1"/>
  <c r="AC350" i="1"/>
  <c r="AD350" i="1" s="1"/>
  <c r="Z350" i="1"/>
  <c r="AA350" i="1" l="1"/>
  <c r="AH350" i="1" s="1"/>
  <c r="V350" i="1"/>
  <c r="AF351" i="1" s="1"/>
  <c r="W350" i="1"/>
  <c r="U350" i="1"/>
  <c r="Z351" i="1" l="1"/>
  <c r="AC351" i="1"/>
  <c r="AI350" i="1"/>
  <c r="X351" i="1" s="1"/>
  <c r="AE351" i="1"/>
  <c r="AG351" i="1" s="1"/>
  <c r="Y351" i="1"/>
  <c r="AB351" i="1"/>
  <c r="AD351" i="1" s="1"/>
  <c r="U351" i="1"/>
  <c r="W351" i="1"/>
  <c r="V351" i="1" l="1"/>
  <c r="AF352" i="1" s="1"/>
  <c r="AB352" i="1"/>
  <c r="Y352" i="1"/>
  <c r="AE352" i="1"/>
  <c r="AA351" i="1"/>
  <c r="AH351" i="1" l="1"/>
  <c r="AI351" i="1"/>
  <c r="AG352" i="1"/>
  <c r="AC352" i="1"/>
  <c r="AD352" i="1" s="1"/>
  <c r="Z352" i="1"/>
  <c r="AA352" i="1" s="1"/>
  <c r="AI352" i="1" l="1"/>
  <c r="AH352" i="1"/>
  <c r="X352" i="1"/>
  <c r="V352" i="1"/>
  <c r="AF353" i="1" s="1"/>
  <c r="W352" i="1"/>
  <c r="U352" i="1"/>
  <c r="X353" i="1" l="1"/>
  <c r="AE353" i="1"/>
  <c r="AB353" i="1"/>
  <c r="Y353" i="1"/>
  <c r="U353" i="1"/>
  <c r="W353" i="1"/>
  <c r="Z353" i="1"/>
  <c r="AC353" i="1"/>
  <c r="V353" i="1"/>
  <c r="AF354" i="1" s="1"/>
  <c r="AG353" i="1" l="1"/>
  <c r="AE354" i="1"/>
  <c r="Y354" i="1"/>
  <c r="AB354" i="1"/>
  <c r="AA353" i="1"/>
  <c r="AC354" i="1"/>
  <c r="Z354" i="1"/>
  <c r="AD353" i="1"/>
  <c r="AH353" i="1" l="1"/>
  <c r="AG354" i="1"/>
  <c r="AI353" i="1"/>
  <c r="AD354" i="1"/>
  <c r="AA354" i="1"/>
  <c r="AI354" i="1" s="1"/>
  <c r="AH354" i="1" l="1"/>
  <c r="W354" i="1"/>
  <c r="U354" i="1"/>
  <c r="V354" i="1"/>
  <c r="AF355" i="1" s="1"/>
  <c r="X354" i="1"/>
  <c r="X355" i="1" s="1"/>
  <c r="Z355" i="1" l="1"/>
  <c r="AC355" i="1"/>
  <c r="U355" i="1"/>
  <c r="AB355" i="1"/>
  <c r="AD355" i="1" s="1"/>
  <c r="AE355" i="1"/>
  <c r="AG355" i="1" s="1"/>
  <c r="Y355" i="1"/>
  <c r="W355" i="1"/>
  <c r="V355" i="1"/>
  <c r="AF356" i="1" s="1"/>
  <c r="AC356" i="1" l="1"/>
  <c r="Z356" i="1"/>
  <c r="AA355" i="1"/>
  <c r="AI355" i="1" s="1"/>
  <c r="AE356" i="1"/>
  <c r="AG356" i="1" s="1"/>
  <c r="Y356" i="1"/>
  <c r="AB356" i="1"/>
  <c r="AD356" i="1" s="1"/>
  <c r="AH355" i="1" l="1"/>
  <c r="V356" i="1"/>
  <c r="AF357" i="1" s="1"/>
  <c r="X356" i="1"/>
  <c r="AA356" i="1"/>
  <c r="AH356" i="1" s="1"/>
  <c r="AI356" i="1" l="1"/>
  <c r="X357" i="1" s="1"/>
  <c r="W356" i="1"/>
  <c r="U356" i="1"/>
  <c r="Z357" i="1"/>
  <c r="AC357" i="1"/>
  <c r="V357" i="1" l="1"/>
  <c r="AF358" i="1" s="1"/>
  <c r="AE357" i="1"/>
  <c r="AG357" i="1" s="1"/>
  <c r="AB357" i="1"/>
  <c r="AD357" i="1" s="1"/>
  <c r="Y357" i="1"/>
  <c r="U357" i="1"/>
  <c r="W357" i="1"/>
  <c r="AA357" i="1" l="1"/>
  <c r="AE358" i="1"/>
  <c r="AB358" i="1"/>
  <c r="Y358" i="1"/>
  <c r="Z358" i="1"/>
  <c r="AC358" i="1"/>
  <c r="AG358" i="1" l="1"/>
  <c r="AH357" i="1"/>
  <c r="AI357" i="1"/>
  <c r="AD358" i="1"/>
  <c r="AA358" i="1"/>
  <c r="AI358" i="1" l="1"/>
  <c r="AH358" i="1"/>
  <c r="U358" i="1"/>
  <c r="W358" i="1"/>
  <c r="X358" i="1"/>
  <c r="V358" i="1"/>
  <c r="AF359" i="1" s="1"/>
  <c r="X359" i="1" l="1"/>
  <c r="W359" i="1"/>
  <c r="AC359" i="1"/>
  <c r="Z359" i="1"/>
  <c r="V359" i="1"/>
  <c r="AF360" i="1" s="1"/>
  <c r="AE359" i="1"/>
  <c r="AG359" i="1" s="1"/>
  <c r="AB359" i="1"/>
  <c r="AD359" i="1" s="1"/>
  <c r="Y359" i="1"/>
  <c r="U359" i="1"/>
  <c r="Y360" i="1" l="1"/>
  <c r="AE360" i="1"/>
  <c r="AB360" i="1"/>
  <c r="AA359" i="1"/>
  <c r="AI359" i="1" s="1"/>
  <c r="AC360" i="1"/>
  <c r="Z360" i="1"/>
  <c r="AG360" i="1" l="1"/>
  <c r="AH359" i="1"/>
  <c r="V360" i="1"/>
  <c r="AF361" i="1" s="1"/>
  <c r="X360" i="1"/>
  <c r="AD360" i="1"/>
  <c r="AA360" i="1"/>
  <c r="AH360" i="1" l="1"/>
  <c r="AI360" i="1"/>
  <c r="X361" i="1" s="1"/>
  <c r="U360" i="1"/>
  <c r="W360" i="1"/>
  <c r="AC361" i="1"/>
  <c r="Z361" i="1"/>
  <c r="V361" i="1" l="1"/>
  <c r="AF362" i="1" s="1"/>
  <c r="W361" i="1"/>
  <c r="U361" i="1"/>
  <c r="AB361" i="1"/>
  <c r="AD361" i="1" s="1"/>
  <c r="Y361" i="1"/>
  <c r="AE361" i="1"/>
  <c r="AG361" i="1" s="1"/>
  <c r="AC362" i="1" l="1"/>
  <c r="Z362" i="1"/>
  <c r="AA361" i="1"/>
  <c r="Y362" i="1"/>
  <c r="AB362" i="1"/>
  <c r="AD362" i="1" s="1"/>
  <c r="AE362" i="1"/>
  <c r="AG362" i="1" s="1"/>
  <c r="AH361" i="1" l="1"/>
  <c r="AI361" i="1"/>
  <c r="AA362" i="1"/>
  <c r="AH362" i="1" s="1"/>
  <c r="AI362" i="1" l="1"/>
  <c r="U362" i="1"/>
  <c r="W362" i="1"/>
  <c r="X362" i="1"/>
  <c r="V362" i="1"/>
  <c r="AF363" i="1" s="1"/>
  <c r="X363" i="1" l="1"/>
  <c r="Z363" i="1"/>
  <c r="AC363" i="1"/>
  <c r="V363" i="1"/>
  <c r="AF364" i="1" s="1"/>
  <c r="W363" i="1"/>
  <c r="AB363" i="1"/>
  <c r="AD363" i="1" s="1"/>
  <c r="Y363" i="1"/>
  <c r="AE363" i="1"/>
  <c r="AG363" i="1" s="1"/>
  <c r="U363" i="1"/>
  <c r="AB364" i="1" l="1"/>
  <c r="AE364" i="1"/>
  <c r="Y364" i="1"/>
  <c r="AC364" i="1"/>
  <c r="Z364" i="1"/>
  <c r="AA363" i="1"/>
  <c r="AH363" i="1" s="1"/>
  <c r="AG364" i="1" l="1"/>
  <c r="AI363" i="1"/>
  <c r="AA364" i="1"/>
  <c r="AD364" i="1"/>
  <c r="AH364" i="1" l="1"/>
  <c r="AI364" i="1"/>
  <c r="V364" i="1"/>
  <c r="AF365" i="1" s="1"/>
  <c r="X364" i="1"/>
  <c r="U364" i="1"/>
  <c r="W364" i="1"/>
  <c r="X365" i="1" l="1"/>
  <c r="Y365" i="1"/>
  <c r="AE365" i="1"/>
  <c r="AB365" i="1"/>
  <c r="U365" i="1"/>
  <c r="W365" i="1"/>
  <c r="Z365" i="1"/>
  <c r="AC365" i="1"/>
  <c r="AD365" i="1" s="1"/>
  <c r="V365" i="1"/>
  <c r="AF366" i="1" s="1"/>
  <c r="AG365" i="1" l="1"/>
  <c r="Z366" i="1"/>
  <c r="AC366" i="1"/>
  <c r="AE366" i="1"/>
  <c r="AG366" i="1" s="1"/>
  <c r="Y366" i="1"/>
  <c r="AB366" i="1"/>
  <c r="AA365" i="1"/>
  <c r="AI365" i="1" l="1"/>
  <c r="X366" i="1" s="1"/>
  <c r="AH365" i="1"/>
  <c r="AD366" i="1"/>
  <c r="AA366" i="1"/>
  <c r="AH366" i="1" s="1"/>
  <c r="V366" i="1" l="1"/>
  <c r="AI366" i="1"/>
  <c r="V367" i="1" s="1"/>
  <c r="AF368" i="1" s="1"/>
  <c r="W366" i="1"/>
  <c r="U366" i="1"/>
  <c r="AC367" i="1" l="1"/>
  <c r="AF367" i="1"/>
  <c r="Z368" i="1"/>
  <c r="Z367" i="1"/>
  <c r="X367" i="1"/>
  <c r="AC368" i="1"/>
  <c r="W367" i="1"/>
  <c r="AB367" i="1"/>
  <c r="AD367" i="1" s="1"/>
  <c r="U367" i="1"/>
  <c r="Y367" i="1"/>
  <c r="AE367" i="1"/>
  <c r="AG367" i="1" s="1"/>
  <c r="AB368" i="1" l="1"/>
  <c r="AD368" i="1" s="1"/>
  <c r="Y368" i="1"/>
  <c r="AE368" i="1"/>
  <c r="AG368" i="1" s="1"/>
  <c r="AA367" i="1"/>
  <c r="AH367" i="1" l="1"/>
  <c r="U368" i="1" s="1"/>
  <c r="AI367" i="1"/>
  <c r="AA368" i="1"/>
  <c r="AH368" i="1" l="1"/>
  <c r="AI368" i="1"/>
  <c r="W368" i="1"/>
  <c r="V368" i="1"/>
  <c r="AF369" i="1" s="1"/>
  <c r="X368" i="1"/>
  <c r="AE369" i="1"/>
  <c r="AB369" i="1"/>
  <c r="Y369" i="1"/>
  <c r="U369" i="1" l="1"/>
  <c r="W369" i="1"/>
  <c r="V369" i="1"/>
  <c r="AF370" i="1" s="1"/>
  <c r="X369" i="1"/>
  <c r="AE370" i="1"/>
  <c r="AB370" i="1"/>
  <c r="Y370" i="1"/>
  <c r="Z369" i="1"/>
  <c r="AC369" i="1"/>
  <c r="AD369" i="1" s="1"/>
  <c r="AG369" i="1"/>
  <c r="AA369" i="1" l="1"/>
  <c r="AH369" i="1" s="1"/>
  <c r="AG370" i="1"/>
  <c r="Z370" i="1"/>
  <c r="AC370" i="1"/>
  <c r="AD370" i="1" s="1"/>
  <c r="AI369" i="1" l="1"/>
  <c r="V370" i="1" s="1"/>
  <c r="AF371" i="1" s="1"/>
  <c r="AA370" i="1"/>
  <c r="AH370" i="1" s="1"/>
  <c r="W370" i="1"/>
  <c r="U370" i="1"/>
  <c r="AC371" i="1" l="1"/>
  <c r="X370" i="1"/>
  <c r="Z371" i="1"/>
  <c r="AI370" i="1"/>
  <c r="V371" i="1" s="1"/>
  <c r="AF372" i="1" s="1"/>
  <c r="AB371" i="1"/>
  <c r="AD371" i="1" s="1"/>
  <c r="AE371" i="1"/>
  <c r="AG371" i="1" s="1"/>
  <c r="Y371" i="1"/>
  <c r="W371" i="1"/>
  <c r="Z372" i="1" l="1"/>
  <c r="AC372" i="1"/>
  <c r="U371" i="1"/>
  <c r="X371" i="1"/>
  <c r="AA371" i="1"/>
  <c r="AH371" i="1" s="1"/>
  <c r="AI371" i="1" l="1"/>
  <c r="V372" i="1" s="1"/>
  <c r="AF373" i="1" s="1"/>
  <c r="W372" i="1"/>
  <c r="AB372" i="1"/>
  <c r="AD372" i="1" s="1"/>
  <c r="AE372" i="1"/>
  <c r="AG372" i="1" s="1"/>
  <c r="Y372" i="1"/>
  <c r="X372" i="1" l="1"/>
  <c r="Z373" i="1"/>
  <c r="AC373" i="1"/>
  <c r="AA372" i="1"/>
  <c r="U372" i="1"/>
  <c r="AH372" i="1" l="1"/>
  <c r="W373" i="1" s="1"/>
  <c r="AI372" i="1"/>
  <c r="AE373" i="1"/>
  <c r="AG373" i="1" s="1"/>
  <c r="Y373" i="1"/>
  <c r="AB373" i="1"/>
  <c r="AD373" i="1" s="1"/>
  <c r="U373" i="1" l="1"/>
  <c r="V373" i="1"/>
  <c r="AF374" i="1" s="1"/>
  <c r="X373" i="1"/>
  <c r="AA373" i="1"/>
  <c r="AH373" i="1" l="1"/>
  <c r="W374" i="1" s="1"/>
  <c r="AI373" i="1"/>
  <c r="V374" i="1" s="1"/>
  <c r="AF375" i="1" s="1"/>
  <c r="AC374" i="1"/>
  <c r="Z374" i="1"/>
  <c r="AE374" i="1"/>
  <c r="AG374" i="1" s="1"/>
  <c r="AB374" i="1"/>
  <c r="AD374" i="1" s="1"/>
  <c r="Y374" i="1"/>
  <c r="AA374" i="1" l="1"/>
  <c r="AH374" i="1" s="1"/>
  <c r="AC375" i="1"/>
  <c r="Z375" i="1"/>
  <c r="X374" i="1"/>
  <c r="U374" i="1"/>
  <c r="AI374" i="1" l="1"/>
  <c r="X375" i="1" s="1"/>
  <c r="AB375" i="1"/>
  <c r="AD375" i="1" s="1"/>
  <c r="AE375" i="1"/>
  <c r="AG375" i="1" s="1"/>
  <c r="Y375" i="1"/>
  <c r="W375" i="1"/>
  <c r="AA375" i="1" l="1"/>
  <c r="U375" i="1"/>
  <c r="V375" i="1"/>
  <c r="AF376" i="1" s="1"/>
  <c r="AH375" i="1" l="1"/>
  <c r="W376" i="1" s="1"/>
  <c r="AI375" i="1"/>
  <c r="AB376" i="1"/>
  <c r="AE376" i="1"/>
  <c r="AG376" i="1" s="1"/>
  <c r="Y376" i="1"/>
  <c r="Z376" i="1"/>
  <c r="AC376" i="1"/>
  <c r="U376" i="1" l="1"/>
  <c r="AA376" i="1"/>
  <c r="V376" i="1"/>
  <c r="AF377" i="1" s="1"/>
  <c r="X376" i="1"/>
  <c r="AD376" i="1"/>
  <c r="AH376" i="1" l="1"/>
  <c r="W377" i="1" s="1"/>
  <c r="AI376" i="1"/>
  <c r="V377" i="1" s="1"/>
  <c r="AF378" i="1" s="1"/>
  <c r="AC377" i="1"/>
  <c r="Z377" i="1"/>
  <c r="AB377" i="1"/>
  <c r="AD377" i="1" s="1"/>
  <c r="AE377" i="1"/>
  <c r="AG377" i="1" s="1"/>
  <c r="Y377" i="1"/>
  <c r="Z378" i="1" l="1"/>
  <c r="AC378" i="1"/>
  <c r="U377" i="1"/>
  <c r="X377" i="1"/>
  <c r="AA377" i="1"/>
  <c r="AI377" i="1" s="1"/>
  <c r="AH377" i="1" l="1"/>
  <c r="W378" i="1" s="1"/>
  <c r="X378" i="1"/>
  <c r="AE378" i="1"/>
  <c r="AG378" i="1" s="1"/>
  <c r="Y378" i="1"/>
  <c r="AB378" i="1"/>
  <c r="AD378" i="1" s="1"/>
  <c r="V378" i="1"/>
  <c r="AF379" i="1" s="1"/>
  <c r="U378" i="1" l="1"/>
  <c r="AB379" i="1" s="1"/>
  <c r="AA378" i="1"/>
  <c r="AC379" i="1"/>
  <c r="Z379" i="1"/>
  <c r="AH378" i="1" l="1"/>
  <c r="AI378" i="1"/>
  <c r="Y379" i="1"/>
  <c r="AA379" i="1" s="1"/>
  <c r="AE379" i="1"/>
  <c r="AG379" i="1" s="1"/>
  <c r="AD379" i="1"/>
  <c r="AI379" i="1" l="1"/>
  <c r="AH379" i="1"/>
  <c r="X379" i="1"/>
  <c r="V379" i="1"/>
  <c r="AF380" i="1" s="1"/>
  <c r="W379" i="1"/>
  <c r="U379" i="1"/>
  <c r="X380" i="1" l="1"/>
  <c r="AB380" i="1"/>
  <c r="Y380" i="1"/>
  <c r="AE380" i="1"/>
  <c r="U380" i="1"/>
  <c r="W380" i="1"/>
  <c r="Z380" i="1"/>
  <c r="AC380" i="1"/>
  <c r="V380" i="1"/>
  <c r="AF381" i="1" s="1"/>
  <c r="AG380" i="1" l="1"/>
  <c r="AC381" i="1"/>
  <c r="Z381" i="1"/>
  <c r="AE381" i="1"/>
  <c r="AG381" i="1" s="1"/>
  <c r="AB381" i="1"/>
  <c r="AD381" i="1" s="1"/>
  <c r="Y381" i="1"/>
  <c r="AA380" i="1"/>
  <c r="AD380" i="1"/>
  <c r="AI380" i="1" l="1"/>
  <c r="X381" i="1" s="1"/>
  <c r="AH380" i="1"/>
  <c r="W381" i="1" s="1"/>
  <c r="AA381" i="1"/>
  <c r="AI381" i="1" s="1"/>
  <c r="V381" i="1" l="1"/>
  <c r="AF382" i="1" s="1"/>
  <c r="AH381" i="1"/>
  <c r="W382" i="1" s="1"/>
  <c r="U381" i="1"/>
  <c r="AE382" i="1" s="1"/>
  <c r="AG382" i="1" s="1"/>
  <c r="V382" i="1"/>
  <c r="AF383" i="1" s="1"/>
  <c r="X382" i="1"/>
  <c r="AC382" i="1"/>
  <c r="Z382" i="1"/>
  <c r="Y382" i="1"/>
  <c r="AB382" i="1" l="1"/>
  <c r="AD382" i="1" s="1"/>
  <c r="AA382" i="1"/>
  <c r="U382" i="1"/>
  <c r="AC383" i="1"/>
  <c r="Z383" i="1"/>
  <c r="AH382" i="1" l="1"/>
  <c r="W383" i="1" s="1"/>
  <c r="AI382" i="1"/>
  <c r="AE383" i="1"/>
  <c r="AG383" i="1" s="1"/>
  <c r="Y383" i="1"/>
  <c r="AB383" i="1"/>
  <c r="AD383" i="1" s="1"/>
  <c r="X383" i="1" l="1"/>
  <c r="V383" i="1"/>
  <c r="AF384" i="1" s="1"/>
  <c r="U383" i="1"/>
  <c r="AA383" i="1"/>
  <c r="AI383" i="1" s="1"/>
  <c r="AH383" i="1" l="1"/>
  <c r="W384" i="1" s="1"/>
  <c r="X384" i="1"/>
  <c r="AB384" i="1"/>
  <c r="Y384" i="1"/>
  <c r="AE384" i="1"/>
  <c r="AG384" i="1" s="1"/>
  <c r="Z384" i="1"/>
  <c r="AC384" i="1"/>
  <c r="AD384" i="1" s="1"/>
  <c r="U384" i="1" l="1"/>
  <c r="Y385" i="1" s="1"/>
  <c r="V384" i="1"/>
  <c r="AF385" i="1" s="1"/>
  <c r="AA384" i="1"/>
  <c r="AC385" i="1" l="1"/>
  <c r="Z385" i="1"/>
  <c r="AB385" i="1"/>
  <c r="AE385" i="1"/>
  <c r="AG385" i="1" s="1"/>
  <c r="AI384" i="1"/>
  <c r="V385" i="1" s="1"/>
  <c r="AF386" i="1" s="1"/>
  <c r="AH384" i="1"/>
  <c r="AD385" i="1"/>
  <c r="AA385" i="1"/>
  <c r="AC386" i="1" l="1"/>
  <c r="Z386" i="1"/>
  <c r="X385" i="1"/>
  <c r="AI385" i="1"/>
  <c r="V386" i="1" s="1"/>
  <c r="AF387" i="1" s="1"/>
  <c r="AH385" i="1"/>
  <c r="W385" i="1"/>
  <c r="U385" i="1"/>
  <c r="W386" i="1" l="1"/>
  <c r="AE386" i="1"/>
  <c r="AG386" i="1" s="1"/>
  <c r="AB386" i="1"/>
  <c r="AD386" i="1" s="1"/>
  <c r="Y386" i="1"/>
  <c r="U386" i="1"/>
  <c r="Z387" i="1"/>
  <c r="AC387" i="1"/>
  <c r="X386" i="1"/>
  <c r="AE387" i="1" l="1"/>
  <c r="AG387" i="1" s="1"/>
  <c r="AB387" i="1"/>
  <c r="AD387" i="1" s="1"/>
  <c r="Y387" i="1"/>
  <c r="AA386" i="1"/>
  <c r="AH386" i="1" l="1"/>
  <c r="AI386" i="1"/>
  <c r="AA387" i="1"/>
  <c r="AH387" i="1" l="1"/>
  <c r="AI387" i="1"/>
  <c r="X387" i="1"/>
  <c r="V387" i="1"/>
  <c r="AF388" i="1" s="1"/>
  <c r="W387" i="1"/>
  <c r="U387" i="1"/>
  <c r="V388" i="1" l="1"/>
  <c r="AF389" i="1" s="1"/>
  <c r="AC388" i="1"/>
  <c r="Z388" i="1"/>
  <c r="AB388" i="1"/>
  <c r="Y388" i="1"/>
  <c r="AE388" i="1"/>
  <c r="AG388" i="1" s="1"/>
  <c r="U388" i="1"/>
  <c r="W388" i="1"/>
  <c r="X388" i="1"/>
  <c r="AC389" i="1" l="1"/>
  <c r="Z389" i="1"/>
  <c r="Y389" i="1"/>
  <c r="AE389" i="1"/>
  <c r="AG389" i="1" s="1"/>
  <c r="AB389" i="1"/>
  <c r="AD389" i="1" s="1"/>
  <c r="AD388" i="1"/>
  <c r="AA388" i="1"/>
  <c r="AH388" i="1" l="1"/>
  <c r="AI388" i="1"/>
  <c r="AA389" i="1"/>
  <c r="AH389" i="1" l="1"/>
  <c r="AI389" i="1"/>
  <c r="W389" i="1"/>
  <c r="U389" i="1"/>
  <c r="X389" i="1"/>
  <c r="V389" i="1"/>
  <c r="AF390" i="1" s="1"/>
  <c r="X390" i="1" l="1"/>
  <c r="AE390" i="1"/>
  <c r="Y390" i="1"/>
  <c r="AB390" i="1"/>
  <c r="U390" i="1"/>
  <c r="Z390" i="1"/>
  <c r="AC390" i="1"/>
  <c r="AD390" i="1" s="1"/>
  <c r="V390" i="1"/>
  <c r="AF391" i="1" s="1"/>
  <c r="W390" i="1"/>
  <c r="AG390" i="1" l="1"/>
  <c r="AC391" i="1"/>
  <c r="Z391" i="1"/>
  <c r="AB391" i="1"/>
  <c r="AD391" i="1" s="1"/>
  <c r="Y391" i="1"/>
  <c r="AE391" i="1"/>
  <c r="AG391" i="1" s="1"/>
  <c r="AA390" i="1"/>
  <c r="AH390" i="1" s="1"/>
  <c r="AI390" i="1" l="1"/>
  <c r="AA391" i="1"/>
  <c r="AH391" i="1" s="1"/>
  <c r="AI391" i="1" l="1"/>
  <c r="U391" i="1"/>
  <c r="W391" i="1"/>
  <c r="X391" i="1"/>
  <c r="V391" i="1"/>
  <c r="AF392" i="1" s="1"/>
  <c r="X392" i="1" l="1"/>
  <c r="W392" i="1"/>
  <c r="Z392" i="1"/>
  <c r="AC392" i="1"/>
  <c r="AE392" i="1"/>
  <c r="AG392" i="1" s="1"/>
  <c r="AB392" i="1"/>
  <c r="Y392" i="1"/>
  <c r="U392" i="1"/>
  <c r="V392" i="1"/>
  <c r="AF393" i="1" s="1"/>
  <c r="AD392" i="1" l="1"/>
  <c r="AA392" i="1"/>
  <c r="AH392" i="1" s="1"/>
  <c r="Y393" i="1"/>
  <c r="AE393" i="1"/>
  <c r="AB393" i="1"/>
  <c r="AC393" i="1"/>
  <c r="Z393" i="1"/>
  <c r="AG393" i="1" l="1"/>
  <c r="AI392" i="1"/>
  <c r="X393" i="1" s="1"/>
  <c r="AD393" i="1"/>
  <c r="AA393" i="1"/>
  <c r="AI393" i="1" l="1"/>
  <c r="V393" i="1"/>
  <c r="AF394" i="1" s="1"/>
  <c r="AH393" i="1"/>
  <c r="W393" i="1"/>
  <c r="U393" i="1"/>
  <c r="V394" i="1" l="1"/>
  <c r="AF395" i="1" s="1"/>
  <c r="X394" i="1"/>
  <c r="AC394" i="1"/>
  <c r="Z394" i="1"/>
  <c r="W394" i="1"/>
  <c r="AC395" i="1"/>
  <c r="Z395" i="1"/>
  <c r="AB394" i="1"/>
  <c r="AD394" i="1" s="1"/>
  <c r="Y394" i="1"/>
  <c r="AE394" i="1"/>
  <c r="AG394" i="1" s="1"/>
  <c r="U394" i="1"/>
  <c r="AA394" i="1" l="1"/>
  <c r="Y395" i="1"/>
  <c r="AE395" i="1"/>
  <c r="AG395" i="1" s="1"/>
  <c r="AB395" i="1"/>
  <c r="AD395" i="1" s="1"/>
  <c r="AH394" i="1" l="1"/>
  <c r="W395" i="1" s="1"/>
  <c r="AI394" i="1"/>
  <c r="AA395" i="1"/>
  <c r="U395" i="1" l="1"/>
  <c r="AB396" i="1" s="1"/>
  <c r="AH395" i="1"/>
  <c r="AI395" i="1"/>
  <c r="V395" i="1"/>
  <c r="AF396" i="1" s="1"/>
  <c r="X395" i="1"/>
  <c r="AE396" i="1" l="1"/>
  <c r="Y396" i="1"/>
  <c r="U396" i="1"/>
  <c r="Y397" i="1" s="1"/>
  <c r="V396" i="1"/>
  <c r="AF397" i="1" s="1"/>
  <c r="AB397" i="1"/>
  <c r="W396" i="1"/>
  <c r="X396" i="1"/>
  <c r="Z396" i="1"/>
  <c r="AC396" i="1"/>
  <c r="AD396" i="1" s="1"/>
  <c r="AG396" i="1"/>
  <c r="AE397" i="1" l="1"/>
  <c r="AC397" i="1"/>
  <c r="Z397" i="1"/>
  <c r="AG397" i="1"/>
  <c r="AA396" i="1"/>
  <c r="AH396" i="1" s="1"/>
  <c r="W397" i="1" s="1"/>
  <c r="AD397" i="1"/>
  <c r="AA397" i="1"/>
  <c r="AH397" i="1" l="1"/>
  <c r="W398" i="1" s="1"/>
  <c r="AI396" i="1"/>
  <c r="X397" i="1" s="1"/>
  <c r="AI397" i="1"/>
  <c r="U397" i="1"/>
  <c r="V397" i="1" l="1"/>
  <c r="AF398" i="1" s="1"/>
  <c r="X398" i="1"/>
  <c r="AE398" i="1"/>
  <c r="AB398" i="1"/>
  <c r="Y398" i="1"/>
  <c r="U398" i="1"/>
  <c r="Z398" i="1"/>
  <c r="AC398" i="1"/>
  <c r="V398" i="1"/>
  <c r="AF399" i="1" s="1"/>
  <c r="AG398" i="1" l="1"/>
  <c r="AE399" i="1"/>
  <c r="AB399" i="1"/>
  <c r="Y399" i="1"/>
  <c r="AA398" i="1"/>
  <c r="AC399" i="1"/>
  <c r="Z399" i="1"/>
  <c r="AD398" i="1"/>
  <c r="AG399" i="1" l="1"/>
  <c r="AH398" i="1"/>
  <c r="AI398" i="1"/>
  <c r="X399" i="1" s="1"/>
  <c r="AA399" i="1"/>
  <c r="AD399" i="1"/>
  <c r="AH399" i="1" l="1"/>
  <c r="AI399" i="1"/>
  <c r="V399" i="1"/>
  <c r="AF400" i="1" s="1"/>
  <c r="W399" i="1"/>
  <c r="U399" i="1"/>
  <c r="Z400" i="1" l="1"/>
  <c r="AC400" i="1"/>
  <c r="W400" i="1"/>
  <c r="V400" i="1"/>
  <c r="AF401" i="1" s="1"/>
  <c r="X400" i="1"/>
  <c r="AB400" i="1"/>
  <c r="AD400" i="1" s="1"/>
  <c r="Y400" i="1"/>
  <c r="AE400" i="1"/>
  <c r="AG400" i="1" s="1"/>
  <c r="U400" i="1"/>
  <c r="Y401" i="1" l="1"/>
  <c r="AE401" i="1"/>
  <c r="AG401" i="1" s="1"/>
  <c r="AB401" i="1"/>
  <c r="Z401" i="1"/>
  <c r="AC401" i="1"/>
  <c r="AA400" i="1"/>
  <c r="AH400" i="1" s="1"/>
  <c r="AI400" i="1" l="1"/>
  <c r="AD401" i="1"/>
  <c r="AA401" i="1"/>
  <c r="AI401" i="1" s="1"/>
  <c r="AH401" i="1" l="1"/>
  <c r="U401" i="1"/>
  <c r="W401" i="1"/>
  <c r="X401" i="1"/>
  <c r="X402" i="1" s="1"/>
  <c r="V401" i="1"/>
  <c r="AF402" i="1" s="1"/>
  <c r="W402" i="1" l="1"/>
  <c r="AB402" i="1"/>
  <c r="Y402" i="1"/>
  <c r="AE402" i="1"/>
  <c r="U402" i="1"/>
  <c r="Z402" i="1"/>
  <c r="AC402" i="1"/>
  <c r="V402" i="1"/>
  <c r="AF403" i="1" s="1"/>
  <c r="AG402" i="1" l="1"/>
  <c r="AB403" i="1"/>
  <c r="AE403" i="1"/>
  <c r="Y403" i="1"/>
  <c r="AC403" i="1"/>
  <c r="Z403" i="1"/>
  <c r="AD402" i="1"/>
  <c r="AA402" i="1"/>
  <c r="AH402" i="1" s="1"/>
  <c r="AG403" i="1" l="1"/>
  <c r="AI402" i="1"/>
  <c r="AD403" i="1"/>
  <c r="AA403" i="1"/>
  <c r="AH403" i="1" s="1"/>
  <c r="AI403" i="1" l="1"/>
  <c r="X403" i="1"/>
  <c r="V403" i="1"/>
  <c r="AF404" i="1" s="1"/>
  <c r="W403" i="1"/>
  <c r="U403" i="1"/>
  <c r="Y404" i="1" l="1"/>
  <c r="AE404" i="1"/>
  <c r="AB404" i="1"/>
  <c r="U404" i="1"/>
  <c r="W404" i="1"/>
  <c r="AC404" i="1"/>
  <c r="Z404" i="1"/>
  <c r="V404" i="1"/>
  <c r="AF405" i="1" s="1"/>
  <c r="X404" i="1"/>
  <c r="AG404" i="1" l="1"/>
  <c r="Z405" i="1"/>
  <c r="AC405" i="1"/>
  <c r="AD404" i="1"/>
  <c r="Y405" i="1"/>
  <c r="AE405" i="1"/>
  <c r="AG405" i="1" s="1"/>
  <c r="AB405" i="1"/>
  <c r="AD405" i="1" s="1"/>
  <c r="AA404" i="1"/>
  <c r="AH404" i="1" s="1"/>
  <c r="AI404" i="1" l="1"/>
  <c r="X405" i="1" s="1"/>
  <c r="AA405" i="1"/>
  <c r="AH405" i="1" s="1"/>
  <c r="AI405" i="1" l="1"/>
  <c r="X406" i="1" s="1"/>
  <c r="V405" i="1"/>
  <c r="AF406" i="1" s="1"/>
  <c r="W405" i="1"/>
  <c r="U405" i="1"/>
  <c r="AC406" i="1" l="1"/>
  <c r="Z406" i="1"/>
  <c r="V406" i="1"/>
  <c r="AF407" i="1" s="1"/>
  <c r="W406" i="1"/>
  <c r="AE406" i="1"/>
  <c r="AG406" i="1" s="1"/>
  <c r="AB406" i="1"/>
  <c r="AD406" i="1" s="1"/>
  <c r="Y406" i="1"/>
  <c r="U406" i="1"/>
  <c r="Z407" i="1" l="1"/>
  <c r="AC407" i="1"/>
  <c r="AA406" i="1"/>
  <c r="AH406" i="1" s="1"/>
  <c r="AB407" i="1"/>
  <c r="AD407" i="1" s="1"/>
  <c r="Y407" i="1"/>
  <c r="AE407" i="1"/>
  <c r="AG407" i="1" s="1"/>
  <c r="AI406" i="1" l="1"/>
  <c r="AA407" i="1"/>
  <c r="AH407" i="1" s="1"/>
  <c r="AI407" i="1" l="1"/>
  <c r="U407" i="1"/>
  <c r="W407" i="1"/>
  <c r="V407" i="1"/>
  <c r="AF408" i="1" s="1"/>
  <c r="X407" i="1"/>
  <c r="V408" i="1" l="1"/>
  <c r="AF409" i="1" s="1"/>
  <c r="Z408" i="1"/>
  <c r="AC408" i="1"/>
  <c r="W408" i="1"/>
  <c r="X408" i="1"/>
  <c r="AE408" i="1"/>
  <c r="AG408" i="1" s="1"/>
  <c r="AB408" i="1"/>
  <c r="AD408" i="1" s="1"/>
  <c r="Y408" i="1"/>
  <c r="U408" i="1"/>
  <c r="AC409" i="1" l="1"/>
  <c r="Z409" i="1"/>
  <c r="AA408" i="1"/>
  <c r="AH408" i="1" s="1"/>
  <c r="Y409" i="1"/>
  <c r="AB409" i="1"/>
  <c r="AE409" i="1"/>
  <c r="AG409" i="1" s="1"/>
  <c r="AD409" i="1" l="1"/>
  <c r="AI408" i="1"/>
  <c r="AA409" i="1"/>
  <c r="AH409" i="1" l="1"/>
  <c r="AI409" i="1"/>
  <c r="X409" i="1"/>
  <c r="V409" i="1"/>
  <c r="AF410" i="1" s="1"/>
  <c r="W409" i="1"/>
  <c r="U409" i="1"/>
  <c r="W410" i="1" l="1"/>
  <c r="Z410" i="1"/>
  <c r="AC410" i="1"/>
  <c r="V410" i="1"/>
  <c r="AF411" i="1" s="1"/>
  <c r="AB410" i="1"/>
  <c r="AD410" i="1" s="1"/>
  <c r="AE410" i="1"/>
  <c r="AG410" i="1" s="1"/>
  <c r="Y410" i="1"/>
  <c r="U410" i="1"/>
  <c r="X410" i="1"/>
  <c r="AB411" i="1" l="1"/>
  <c r="AE411" i="1"/>
  <c r="Y411" i="1"/>
  <c r="AC411" i="1"/>
  <c r="AD411" i="1" s="1"/>
  <c r="Z411" i="1"/>
  <c r="AA410" i="1"/>
  <c r="AH410" i="1" s="1"/>
  <c r="AG411" i="1" l="1"/>
  <c r="AI410" i="1"/>
  <c r="AA411" i="1"/>
  <c r="AH411" i="1" s="1"/>
  <c r="AI411" i="1" l="1"/>
  <c r="W411" i="1"/>
  <c r="U411" i="1"/>
  <c r="X411" i="1"/>
  <c r="V411" i="1"/>
  <c r="AF412" i="1" s="1"/>
  <c r="X412" i="1" l="1"/>
  <c r="Y412" i="1"/>
  <c r="AB412" i="1"/>
  <c r="AE412" i="1"/>
  <c r="U412" i="1"/>
  <c r="W412" i="1"/>
  <c r="Z412" i="1"/>
  <c r="AC412" i="1"/>
  <c r="V412" i="1"/>
  <c r="AF413" i="1" s="1"/>
  <c r="AG412" i="1" l="1"/>
  <c r="Z413" i="1"/>
  <c r="AC413" i="1"/>
  <c r="AD412" i="1"/>
  <c r="AE413" i="1"/>
  <c r="AG413" i="1" s="1"/>
  <c r="Y413" i="1"/>
  <c r="AB413" i="1"/>
  <c r="AA412" i="1"/>
  <c r="AH412" i="1" s="1"/>
  <c r="AI412" i="1" l="1"/>
  <c r="X413" i="1" s="1"/>
  <c r="AD413" i="1"/>
  <c r="AA413" i="1"/>
  <c r="AH413" i="1" s="1"/>
  <c r="AI413" i="1" l="1"/>
  <c r="V413" i="1"/>
  <c r="AF414" i="1" s="1"/>
  <c r="W413" i="1"/>
  <c r="U413" i="1"/>
  <c r="Z414" i="1" l="1"/>
  <c r="V414" i="1"/>
  <c r="AF415" i="1" s="1"/>
  <c r="AC414" i="1"/>
  <c r="X414" i="1"/>
  <c r="W414" i="1"/>
  <c r="Y414" i="1"/>
  <c r="AE414" i="1"/>
  <c r="AG414" i="1" s="1"/>
  <c r="AB414" i="1"/>
  <c r="AD414" i="1" s="1"/>
  <c r="U414" i="1"/>
  <c r="AC415" i="1" l="1"/>
  <c r="Z415" i="1"/>
  <c r="Y415" i="1"/>
  <c r="AE415" i="1"/>
  <c r="AG415" i="1" s="1"/>
  <c r="AB415" i="1"/>
  <c r="AD415" i="1" s="1"/>
  <c r="AA414" i="1"/>
  <c r="AH414" i="1" l="1"/>
  <c r="U415" i="1" s="1"/>
  <c r="AI414" i="1"/>
  <c r="AA415" i="1"/>
  <c r="W415" i="1" l="1"/>
  <c r="AH415" i="1"/>
  <c r="W416" i="1" s="1"/>
  <c r="AI415" i="1"/>
  <c r="X415" i="1"/>
  <c r="V415" i="1"/>
  <c r="AF416" i="1" s="1"/>
  <c r="AE416" i="1"/>
  <c r="Y416" i="1"/>
  <c r="AB416" i="1"/>
  <c r="V416" i="1" l="1"/>
  <c r="AF417" i="1" s="1"/>
  <c r="U416" i="1"/>
  <c r="AB417" i="1" s="1"/>
  <c r="Z416" i="1"/>
  <c r="AC416" i="1"/>
  <c r="AD416" i="1" s="1"/>
  <c r="AG416" i="1"/>
  <c r="AC417" i="1"/>
  <c r="Z417" i="1"/>
  <c r="X416" i="1"/>
  <c r="AE417" i="1" l="1"/>
  <c r="Y417" i="1"/>
  <c r="AG417" i="1"/>
  <c r="AD417" i="1"/>
  <c r="AA416" i="1"/>
  <c r="AH416" i="1" s="1"/>
  <c r="AA417" i="1"/>
  <c r="AH417" i="1" s="1"/>
  <c r="AI416" i="1" l="1"/>
  <c r="X417" i="1" s="1"/>
  <c r="AI417" i="1"/>
  <c r="U417" i="1"/>
  <c r="W417" i="1"/>
  <c r="W418" i="1" s="1"/>
  <c r="X418" i="1" l="1"/>
  <c r="V417" i="1"/>
  <c r="AF418" i="1" s="1"/>
  <c r="AE418" i="1"/>
  <c r="Y418" i="1"/>
  <c r="AB418" i="1"/>
  <c r="U418" i="1"/>
  <c r="V418" i="1"/>
  <c r="AF419" i="1" s="1"/>
  <c r="AC418" i="1" l="1"/>
  <c r="Z418" i="1"/>
  <c r="AA418" i="1" s="1"/>
  <c r="AG418" i="1"/>
  <c r="Y419" i="1"/>
  <c r="AB419" i="1"/>
  <c r="AE419" i="1"/>
  <c r="Z419" i="1"/>
  <c r="AC419" i="1"/>
  <c r="AD418" i="1"/>
  <c r="AH418" i="1" l="1"/>
  <c r="AG419" i="1"/>
  <c r="AI418" i="1"/>
  <c r="AD419" i="1"/>
  <c r="AA419" i="1"/>
  <c r="AI419" i="1" l="1"/>
  <c r="AH419" i="1"/>
  <c r="W419" i="1"/>
  <c r="U419" i="1"/>
  <c r="X419" i="1"/>
  <c r="X420" i="1" s="1"/>
  <c r="V419" i="1"/>
  <c r="AF420" i="1" s="1"/>
  <c r="AC420" i="1" l="1"/>
  <c r="Z420" i="1"/>
  <c r="V420" i="1"/>
  <c r="AF421" i="1" s="1"/>
  <c r="AE420" i="1"/>
  <c r="AG420" i="1" s="1"/>
  <c r="AB420" i="1"/>
  <c r="AD420" i="1" s="1"/>
  <c r="Y420" i="1"/>
  <c r="U420" i="1"/>
  <c r="W420" i="1"/>
  <c r="Y421" i="1" l="1"/>
  <c r="AE421" i="1"/>
  <c r="AB421" i="1"/>
  <c r="AA420" i="1"/>
  <c r="AI420" i="1" s="1"/>
  <c r="Z421" i="1"/>
  <c r="AC421" i="1"/>
  <c r="AG421" i="1" l="1"/>
  <c r="X421" i="1"/>
  <c r="AH420" i="1"/>
  <c r="AD421" i="1"/>
  <c r="AA421" i="1"/>
  <c r="AH421" i="1" s="1"/>
  <c r="V421" i="1"/>
  <c r="AF422" i="1" s="1"/>
  <c r="AI421" i="1" l="1"/>
  <c r="W421" i="1"/>
  <c r="U421" i="1"/>
  <c r="AC422" i="1"/>
  <c r="Z422" i="1"/>
  <c r="V422" i="1" l="1"/>
  <c r="AF423" i="1" s="1"/>
  <c r="X422" i="1"/>
  <c r="AE422" i="1"/>
  <c r="AG422" i="1" s="1"/>
  <c r="AB422" i="1"/>
  <c r="AD422" i="1" s="1"/>
  <c r="Y422" i="1"/>
  <c r="U422" i="1"/>
  <c r="W422" i="1"/>
  <c r="AE423" i="1" l="1"/>
  <c r="AB423" i="1"/>
  <c r="Y423" i="1"/>
  <c r="AA422" i="1"/>
  <c r="Z423" i="1"/>
  <c r="AC423" i="1"/>
  <c r="AG423" i="1" l="1"/>
  <c r="AH422" i="1"/>
  <c r="AI422" i="1"/>
  <c r="AD423" i="1"/>
  <c r="AA423" i="1"/>
  <c r="AH423" i="1" l="1"/>
  <c r="AI423" i="1"/>
  <c r="W423" i="1"/>
  <c r="U423" i="1"/>
  <c r="X423" i="1"/>
  <c r="V423" i="1"/>
  <c r="AF424" i="1" s="1"/>
  <c r="V424" i="1" l="1"/>
  <c r="AF425" i="1" s="1"/>
  <c r="AC424" i="1"/>
  <c r="Z424" i="1"/>
  <c r="X424" i="1"/>
  <c r="Y424" i="1"/>
  <c r="AB424" i="1"/>
  <c r="AE424" i="1"/>
  <c r="AG424" i="1" s="1"/>
  <c r="U424" i="1"/>
  <c r="Z425" i="1"/>
  <c r="W424" i="1"/>
  <c r="AC425" i="1" l="1"/>
  <c r="AD424" i="1"/>
  <c r="Y425" i="1"/>
  <c r="AB425" i="1"/>
  <c r="AD425" i="1" s="1"/>
  <c r="AE425" i="1"/>
  <c r="AG425" i="1" s="1"/>
  <c r="AA424" i="1"/>
  <c r="AI424" i="1" s="1"/>
  <c r="AH424" i="1" l="1"/>
  <c r="V425" i="1"/>
  <c r="AF426" i="1" s="1"/>
  <c r="X425" i="1"/>
  <c r="AA425" i="1"/>
  <c r="AH425" i="1" l="1"/>
  <c r="AI425" i="1"/>
  <c r="X426" i="1" s="1"/>
  <c r="W425" i="1"/>
  <c r="U425" i="1"/>
  <c r="AC426" i="1"/>
  <c r="Z426" i="1"/>
  <c r="V426" i="1" l="1"/>
  <c r="AF427" i="1" s="1"/>
  <c r="AB426" i="1"/>
  <c r="AE426" i="1"/>
  <c r="AG426" i="1" s="1"/>
  <c r="Y426" i="1"/>
  <c r="U426" i="1"/>
  <c r="AD426" i="1"/>
  <c r="W426" i="1"/>
  <c r="AC427" i="1" l="1"/>
  <c r="Z427" i="1"/>
  <c r="AE427" i="1"/>
  <c r="AG427" i="1" s="1"/>
  <c r="AB427" i="1"/>
  <c r="AD427" i="1" s="1"/>
  <c r="Y427" i="1"/>
  <c r="AA426" i="1"/>
  <c r="AH426" i="1" l="1"/>
  <c r="U427" i="1" s="1"/>
  <c r="AI426" i="1"/>
  <c r="AA427" i="1"/>
  <c r="AH427" i="1" s="1"/>
  <c r="W427" i="1" l="1"/>
  <c r="AI427" i="1"/>
  <c r="U428" i="1"/>
  <c r="AB428" i="1"/>
  <c r="AE428" i="1"/>
  <c r="Y428" i="1"/>
  <c r="X427" i="1"/>
  <c r="V427" i="1"/>
  <c r="AF428" i="1" s="1"/>
  <c r="X428" i="1" l="1"/>
  <c r="AB429" i="1"/>
  <c r="Y429" i="1"/>
  <c r="AE429" i="1"/>
  <c r="W428" i="1"/>
  <c r="Z428" i="1"/>
  <c r="AG428" i="1"/>
  <c r="AC428" i="1"/>
  <c r="AD428" i="1" s="1"/>
  <c r="V428" i="1"/>
  <c r="AF429" i="1" s="1"/>
  <c r="AA428" i="1" l="1"/>
  <c r="AH428" i="1" s="1"/>
  <c r="U429" i="1" s="1"/>
  <c r="Z429" i="1"/>
  <c r="AG429" i="1"/>
  <c r="AC429" i="1"/>
  <c r="AA429" i="1"/>
  <c r="AD429" i="1"/>
  <c r="AH429" i="1" l="1"/>
  <c r="AI429" i="1"/>
  <c r="AI428" i="1"/>
  <c r="X429" i="1" s="1"/>
  <c r="AE430" i="1"/>
  <c r="AB430" i="1"/>
  <c r="Y430" i="1"/>
  <c r="W429" i="1"/>
  <c r="V429" i="1" l="1"/>
  <c r="AF430" i="1" s="1"/>
  <c r="W430" i="1"/>
  <c r="X430" i="1"/>
  <c r="U430" i="1"/>
  <c r="Z430" i="1"/>
  <c r="AA430" i="1" s="1"/>
  <c r="AC430" i="1"/>
  <c r="AD430" i="1" s="1"/>
  <c r="V430" i="1" l="1"/>
  <c r="AF431" i="1" s="1"/>
  <c r="AG430" i="1"/>
  <c r="AH430" i="1" s="1"/>
  <c r="W431" i="1" s="1"/>
  <c r="AC431" i="1"/>
  <c r="AI430" i="1"/>
  <c r="V431" i="1" s="1"/>
  <c r="AF432" i="1" s="1"/>
  <c r="AB431" i="1"/>
  <c r="Y431" i="1"/>
  <c r="AE431" i="1"/>
  <c r="AD431" i="1" l="1"/>
  <c r="Z431" i="1"/>
  <c r="AG431" i="1"/>
  <c r="AC432" i="1"/>
  <c r="Z432" i="1"/>
  <c r="X431" i="1"/>
  <c r="U431" i="1"/>
  <c r="AA431" i="1"/>
  <c r="AH431" i="1" l="1"/>
  <c r="W432" i="1" s="1"/>
  <c r="AI431" i="1"/>
  <c r="V432" i="1" s="1"/>
  <c r="AF433" i="1" s="1"/>
  <c r="AE432" i="1"/>
  <c r="AG432" i="1" s="1"/>
  <c r="AB432" i="1"/>
  <c r="AD432" i="1" s="1"/>
  <c r="Y432" i="1"/>
  <c r="U432" i="1" l="1"/>
  <c r="AE433" i="1" s="1"/>
  <c r="Z433" i="1"/>
  <c r="AC433" i="1"/>
  <c r="X432" i="1"/>
  <c r="AA432" i="1"/>
  <c r="AG433" i="1" l="1"/>
  <c r="AH432" i="1"/>
  <c r="AI432" i="1"/>
  <c r="X433" i="1" s="1"/>
  <c r="Y433" i="1"/>
  <c r="AB433" i="1"/>
  <c r="AD433" i="1" s="1"/>
  <c r="AA433" i="1"/>
  <c r="AI433" i="1" l="1"/>
  <c r="AH433" i="1"/>
  <c r="V433" i="1"/>
  <c r="AF434" i="1" s="1"/>
  <c r="W433" i="1"/>
  <c r="U433" i="1"/>
  <c r="Z434" i="1"/>
  <c r="AC434" i="1"/>
  <c r="X434" i="1"/>
  <c r="V434" i="1" l="1"/>
  <c r="AF435" i="1" s="1"/>
  <c r="AE434" i="1"/>
  <c r="AG434" i="1" s="1"/>
  <c r="Y434" i="1"/>
  <c r="AB434" i="1"/>
  <c r="AD434" i="1" s="1"/>
  <c r="U434" i="1"/>
  <c r="W434" i="1"/>
  <c r="Y435" i="1" l="1"/>
  <c r="AB435" i="1"/>
  <c r="AE435" i="1"/>
  <c r="AA434" i="1"/>
  <c r="AC435" i="1"/>
  <c r="Z435" i="1"/>
  <c r="AG435" i="1" l="1"/>
  <c r="AH434" i="1"/>
  <c r="AI434" i="1"/>
  <c r="AD435" i="1"/>
  <c r="AA435" i="1"/>
  <c r="AH435" i="1" s="1"/>
  <c r="AI435" i="1" l="1"/>
  <c r="X436" i="1" s="1"/>
  <c r="X435" i="1"/>
  <c r="V435" i="1"/>
  <c r="AF436" i="1" s="1"/>
  <c r="W435" i="1"/>
  <c r="U435" i="1"/>
  <c r="AE436" i="1" l="1"/>
  <c r="Y436" i="1"/>
  <c r="AB436" i="1"/>
  <c r="U436" i="1"/>
  <c r="W436" i="1"/>
  <c r="AC436" i="1"/>
  <c r="Z436" i="1"/>
  <c r="V436" i="1"/>
  <c r="AF437" i="1" s="1"/>
  <c r="AD436" i="1" l="1"/>
  <c r="AG436" i="1"/>
  <c r="AA436" i="1"/>
  <c r="AH436" i="1" s="1"/>
  <c r="Z437" i="1"/>
  <c r="AC437" i="1"/>
  <c r="AE437" i="1"/>
  <c r="AG437" i="1" s="1"/>
  <c r="Y437" i="1"/>
  <c r="AB437" i="1"/>
  <c r="AI436" i="1" l="1"/>
  <c r="AA437" i="1"/>
  <c r="AD437" i="1"/>
  <c r="AH437" i="1" l="1"/>
  <c r="AI437" i="1"/>
  <c r="X437" i="1"/>
  <c r="V437" i="1"/>
  <c r="AF438" i="1" s="1"/>
  <c r="U437" i="1"/>
  <c r="W437" i="1"/>
  <c r="X438" i="1" l="1"/>
  <c r="W438" i="1"/>
  <c r="Z438" i="1"/>
  <c r="AC438" i="1"/>
  <c r="V438" i="1"/>
  <c r="AF439" i="1" s="1"/>
  <c r="AE438" i="1"/>
  <c r="AG438" i="1" s="1"/>
  <c r="Y438" i="1"/>
  <c r="AB438" i="1"/>
  <c r="AD438" i="1" s="1"/>
  <c r="U438" i="1"/>
  <c r="Y439" i="1" l="1"/>
  <c r="AB439" i="1"/>
  <c r="AE439" i="1"/>
  <c r="AC439" i="1"/>
  <c r="Z439" i="1"/>
  <c r="AA438" i="1"/>
  <c r="AH438" i="1" s="1"/>
  <c r="AG439" i="1" l="1"/>
  <c r="AI438" i="1"/>
  <c r="AD439" i="1"/>
  <c r="AA439" i="1"/>
  <c r="AH439" i="1" l="1"/>
  <c r="AI439" i="1"/>
  <c r="V439" i="1"/>
  <c r="AF440" i="1" s="1"/>
  <c r="X439" i="1"/>
  <c r="W439" i="1"/>
  <c r="U439" i="1"/>
  <c r="W440" i="1" l="1"/>
  <c r="V440" i="1"/>
  <c r="AF441" i="1" s="1"/>
  <c r="X440" i="1"/>
  <c r="AC440" i="1"/>
  <c r="Z440" i="1"/>
  <c r="Y440" i="1"/>
  <c r="AE440" i="1"/>
  <c r="AG440" i="1" s="1"/>
  <c r="AB440" i="1"/>
  <c r="U440" i="1"/>
  <c r="AA440" i="1" l="1"/>
  <c r="AE441" i="1"/>
  <c r="AB441" i="1"/>
  <c r="Y441" i="1"/>
  <c r="AC441" i="1"/>
  <c r="Z441" i="1"/>
  <c r="AD440" i="1"/>
  <c r="AG441" i="1" l="1"/>
  <c r="AH440" i="1"/>
  <c r="AI440" i="1"/>
  <c r="V441" i="1" s="1"/>
  <c r="AF442" i="1" s="1"/>
  <c r="AA441" i="1"/>
  <c r="AD441" i="1"/>
  <c r="AC442" i="1" l="1"/>
  <c r="AH441" i="1"/>
  <c r="X441" i="1"/>
  <c r="AI441" i="1"/>
  <c r="X442" i="1" s="1"/>
  <c r="Z442" i="1"/>
  <c r="W441" i="1"/>
  <c r="U441" i="1"/>
  <c r="V442" i="1" l="1"/>
  <c r="AF443" i="1" s="1"/>
  <c r="U442" i="1"/>
  <c r="Y442" i="1"/>
  <c r="AE442" i="1"/>
  <c r="AG442" i="1" s="1"/>
  <c r="AB442" i="1"/>
  <c r="AD442" i="1" s="1"/>
  <c r="W442" i="1"/>
  <c r="AC443" i="1" l="1"/>
  <c r="Z443" i="1"/>
  <c r="Y443" i="1"/>
  <c r="AB443" i="1"/>
  <c r="AD443" i="1" s="1"/>
  <c r="AE443" i="1"/>
  <c r="AG443" i="1" s="1"/>
  <c r="AA442" i="1"/>
  <c r="AH442" i="1" l="1"/>
  <c r="AI442" i="1"/>
  <c r="AA443" i="1"/>
  <c r="AH443" i="1" l="1"/>
  <c r="AI443" i="1"/>
  <c r="W443" i="1"/>
  <c r="U443" i="1"/>
  <c r="X443" i="1"/>
  <c r="V443" i="1"/>
  <c r="AF444" i="1" s="1"/>
  <c r="X444" i="1" l="1"/>
  <c r="U444" i="1"/>
  <c r="AE444" i="1"/>
  <c r="Y444" i="1"/>
  <c r="AB444" i="1"/>
  <c r="W444" i="1"/>
  <c r="V444" i="1"/>
  <c r="AF445" i="1" s="1"/>
  <c r="AC444" i="1"/>
  <c r="Z444" i="1"/>
  <c r="AG444" i="1" l="1"/>
  <c r="AC445" i="1"/>
  <c r="Z445" i="1"/>
  <c r="AD444" i="1"/>
  <c r="AA444" i="1"/>
  <c r="Y445" i="1"/>
  <c r="AE445" i="1"/>
  <c r="AG445" i="1" s="1"/>
  <c r="AB445" i="1"/>
  <c r="AD445" i="1" s="1"/>
  <c r="AH444" i="1" l="1"/>
  <c r="AI444" i="1"/>
  <c r="AA445" i="1"/>
  <c r="AH445" i="1" s="1"/>
  <c r="AI445" i="1" l="1"/>
  <c r="V445" i="1"/>
  <c r="AF446" i="1" s="1"/>
  <c r="X445" i="1"/>
  <c r="U445" i="1"/>
  <c r="W445" i="1"/>
  <c r="X446" i="1" l="1"/>
  <c r="W446" i="1"/>
  <c r="AE446" i="1"/>
  <c r="Y446" i="1"/>
  <c r="AB446" i="1"/>
  <c r="U446" i="1"/>
  <c r="AC446" i="1"/>
  <c r="Z446" i="1"/>
  <c r="V446" i="1"/>
  <c r="AF447" i="1" s="1"/>
  <c r="AG446" i="1" l="1"/>
  <c r="AD446" i="1"/>
  <c r="AA446" i="1"/>
  <c r="Z447" i="1"/>
  <c r="AC447" i="1"/>
  <c r="Y447" i="1"/>
  <c r="AB447" i="1"/>
  <c r="AE447" i="1"/>
  <c r="AG447" i="1" s="1"/>
  <c r="AI446" i="1" l="1"/>
  <c r="X447" i="1" s="1"/>
  <c r="AH446" i="1"/>
  <c r="AD447" i="1"/>
  <c r="AA447" i="1"/>
  <c r="AH447" i="1" l="1"/>
  <c r="V447" i="1"/>
  <c r="AF448" i="1" s="1"/>
  <c r="AI447" i="1"/>
  <c r="X448" i="1" s="1"/>
  <c r="W447" i="1"/>
  <c r="U447" i="1"/>
  <c r="Z448" i="1"/>
  <c r="AC448" i="1"/>
  <c r="V448" i="1" l="1"/>
  <c r="AF449" i="1" s="1"/>
  <c r="U448" i="1"/>
  <c r="Y448" i="1"/>
  <c r="AE448" i="1"/>
  <c r="AG448" i="1" s="1"/>
  <c r="AB448" i="1"/>
  <c r="AD448" i="1" s="1"/>
  <c r="W448" i="1"/>
  <c r="AC449" i="1" l="1"/>
  <c r="Z449" i="1"/>
  <c r="AA448" i="1"/>
  <c r="AE449" i="1"/>
  <c r="AG449" i="1" s="1"/>
  <c r="AB449" i="1"/>
  <c r="AD449" i="1" s="1"/>
  <c r="Y449" i="1"/>
  <c r="AH448" i="1" l="1"/>
  <c r="AI448" i="1"/>
  <c r="AA449" i="1"/>
  <c r="AH449" i="1" s="1"/>
  <c r="AI449" i="1" l="1"/>
  <c r="W449" i="1"/>
  <c r="U449" i="1"/>
  <c r="X449" i="1"/>
  <c r="V449" i="1"/>
  <c r="AF450" i="1" s="1"/>
  <c r="AC450" i="1" l="1"/>
  <c r="Z450" i="1"/>
  <c r="V450" i="1"/>
  <c r="AF451" i="1" s="1"/>
  <c r="X450" i="1"/>
  <c r="Y450" i="1"/>
  <c r="AB450" i="1"/>
  <c r="AE450" i="1"/>
  <c r="AG450" i="1" s="1"/>
  <c r="U450" i="1"/>
  <c r="W450" i="1"/>
  <c r="AD450" i="1" l="1"/>
  <c r="AA450" i="1"/>
  <c r="AH450" i="1" s="1"/>
  <c r="AE451" i="1"/>
  <c r="Y451" i="1"/>
  <c r="AB451" i="1"/>
  <c r="Z451" i="1"/>
  <c r="AC451" i="1"/>
  <c r="AG451" i="1" l="1"/>
  <c r="AI450" i="1"/>
  <c r="AD451" i="1"/>
  <c r="AA451" i="1"/>
  <c r="AI451" i="1" l="1"/>
  <c r="AH451" i="1"/>
  <c r="W451" i="1"/>
  <c r="U451" i="1"/>
  <c r="X451" i="1"/>
  <c r="V451" i="1"/>
  <c r="AF452" i="1" s="1"/>
  <c r="X452" i="1" l="1"/>
  <c r="Z452" i="1"/>
  <c r="AC452" i="1"/>
  <c r="V452" i="1"/>
  <c r="AF453" i="1" s="1"/>
  <c r="AB452" i="1"/>
  <c r="AE452" i="1"/>
  <c r="AG452" i="1" s="1"/>
  <c r="Y452" i="1"/>
  <c r="U452" i="1"/>
  <c r="W452" i="1"/>
  <c r="AC453" i="1" l="1"/>
  <c r="Z453" i="1"/>
  <c r="AA452" i="1"/>
  <c r="AB453" i="1"/>
  <c r="AD453" i="1" s="1"/>
  <c r="AE453" i="1"/>
  <c r="AG453" i="1" s="1"/>
  <c r="Y453" i="1"/>
  <c r="AD452" i="1"/>
  <c r="AH452" i="1" l="1"/>
  <c r="AI452" i="1"/>
  <c r="AA453" i="1"/>
  <c r="AH453" i="1" s="1"/>
  <c r="AI453" i="1" l="1"/>
  <c r="X454" i="1" s="1"/>
  <c r="X453" i="1"/>
  <c r="V453" i="1"/>
  <c r="AF454" i="1" s="1"/>
  <c r="W453" i="1"/>
  <c r="U453" i="1"/>
  <c r="Y454" i="1" l="1"/>
  <c r="AE454" i="1"/>
  <c r="AB454" i="1"/>
  <c r="U454" i="1"/>
  <c r="W454" i="1"/>
  <c r="Z454" i="1"/>
  <c r="AC454" i="1"/>
  <c r="V454" i="1"/>
  <c r="AF455" i="1" s="1"/>
  <c r="AG454" i="1" l="1"/>
  <c r="AD454" i="1"/>
  <c r="Z455" i="1"/>
  <c r="AC455" i="1"/>
  <c r="AE455" i="1"/>
  <c r="AG455" i="1" s="1"/>
  <c r="Y455" i="1"/>
  <c r="AB455" i="1"/>
  <c r="AD455" i="1" s="1"/>
  <c r="AA454" i="1"/>
  <c r="AH454" i="1" s="1"/>
  <c r="AI454" i="1" l="1"/>
  <c r="AA455" i="1"/>
  <c r="AI455" i="1" s="1"/>
  <c r="AH455" i="1" l="1"/>
  <c r="X455" i="1"/>
  <c r="X456" i="1" s="1"/>
  <c r="V455" i="1"/>
  <c r="AF456" i="1" s="1"/>
  <c r="W455" i="1"/>
  <c r="U455" i="1"/>
  <c r="W456" i="1" l="1"/>
  <c r="Y456" i="1"/>
  <c r="AE456" i="1"/>
  <c r="AB456" i="1"/>
  <c r="U456" i="1"/>
  <c r="AC456" i="1"/>
  <c r="Z456" i="1"/>
  <c r="V456" i="1"/>
  <c r="AF457" i="1" s="1"/>
  <c r="AG456" i="1" l="1"/>
  <c r="AD456" i="1"/>
  <c r="AC457" i="1"/>
  <c r="Z457" i="1"/>
  <c r="AA456" i="1"/>
  <c r="AH456" i="1" s="1"/>
  <c r="AB457" i="1"/>
  <c r="AD457" i="1" s="1"/>
  <c r="AE457" i="1"/>
  <c r="AG457" i="1" s="1"/>
  <c r="Y457" i="1"/>
  <c r="AI456" i="1" l="1"/>
  <c r="AA457" i="1"/>
  <c r="AH457" i="1" s="1"/>
  <c r="AI457" i="1" l="1"/>
  <c r="X458" i="1" s="1"/>
  <c r="X457" i="1"/>
  <c r="V457" i="1"/>
  <c r="AF458" i="1" s="1"/>
  <c r="W457" i="1"/>
  <c r="U457" i="1"/>
  <c r="AE458" i="1" l="1"/>
  <c r="Y458" i="1"/>
  <c r="U458" i="1"/>
  <c r="AB458" i="1"/>
  <c r="W458" i="1"/>
  <c r="Z458" i="1"/>
  <c r="AC458" i="1"/>
  <c r="V458" i="1"/>
  <c r="AF459" i="1" s="1"/>
  <c r="AD458" i="1" l="1"/>
  <c r="AG458" i="1"/>
  <c r="AB459" i="1"/>
  <c r="Y459" i="1"/>
  <c r="AE459" i="1"/>
  <c r="Z459" i="1"/>
  <c r="AC459" i="1"/>
  <c r="AA458" i="1"/>
  <c r="AH458" i="1" s="1"/>
  <c r="AG459" i="1" l="1"/>
  <c r="AI458" i="1"/>
  <c r="AA459" i="1"/>
  <c r="AD459" i="1"/>
  <c r="AH459" i="1" l="1"/>
  <c r="AI459" i="1"/>
  <c r="V459" i="1"/>
  <c r="AF460" i="1" s="1"/>
  <c r="X459" i="1"/>
  <c r="U459" i="1"/>
  <c r="W459" i="1"/>
  <c r="X460" i="1" l="1"/>
  <c r="W460" i="1"/>
  <c r="AE460" i="1"/>
  <c r="Y460" i="1"/>
  <c r="AB460" i="1"/>
  <c r="U460" i="1"/>
  <c r="Z460" i="1"/>
  <c r="V460" i="1"/>
  <c r="AF461" i="1" s="1"/>
  <c r="AC460" i="1"/>
  <c r="AD460" i="1" l="1"/>
  <c r="AG460" i="1"/>
  <c r="AA460" i="1"/>
  <c r="AI460" i="1" s="1"/>
  <c r="AC461" i="1"/>
  <c r="Z461" i="1"/>
  <c r="Y461" i="1"/>
  <c r="AB461" i="1"/>
  <c r="AD461" i="1" s="1"/>
  <c r="AE461" i="1"/>
  <c r="AG461" i="1" s="1"/>
  <c r="AH460" i="1" l="1"/>
  <c r="V461" i="1"/>
  <c r="AF462" i="1" s="1"/>
  <c r="X461" i="1"/>
  <c r="AA461" i="1"/>
  <c r="AH461" i="1" s="1"/>
  <c r="AI461" i="1" l="1"/>
  <c r="V462" i="1" s="1"/>
  <c r="AF463" i="1" s="1"/>
  <c r="W461" i="1"/>
  <c r="U461" i="1"/>
  <c r="Z462" i="1"/>
  <c r="AC462" i="1"/>
  <c r="Z463" i="1" l="1"/>
  <c r="AC463" i="1"/>
  <c r="X462" i="1"/>
  <c r="AB462" i="1"/>
  <c r="AD462" i="1" s="1"/>
  <c r="U462" i="1"/>
  <c r="AE462" i="1"/>
  <c r="AG462" i="1" s="1"/>
  <c r="Y462" i="1"/>
  <c r="W462" i="1"/>
  <c r="AA462" i="1" l="1"/>
  <c r="AB463" i="1"/>
  <c r="AD463" i="1" s="1"/>
  <c r="AE463" i="1"/>
  <c r="AG463" i="1" s="1"/>
  <c r="Y463" i="1"/>
  <c r="AH462" i="1" l="1"/>
  <c r="AI462" i="1"/>
  <c r="AA463" i="1"/>
  <c r="AH463" i="1" l="1"/>
  <c r="AI463" i="1"/>
  <c r="U463" i="1"/>
  <c r="W463" i="1"/>
  <c r="V463" i="1"/>
  <c r="AF464" i="1" s="1"/>
  <c r="X463" i="1"/>
  <c r="X464" i="1" l="1"/>
  <c r="Z464" i="1"/>
  <c r="AC464" i="1"/>
  <c r="V464" i="1"/>
  <c r="AF465" i="1" s="1"/>
  <c r="W464" i="1"/>
  <c r="Y464" i="1"/>
  <c r="AB464" i="1"/>
  <c r="U464" i="1"/>
  <c r="AE464" i="1"/>
  <c r="AG464" i="1" s="1"/>
  <c r="Z465" i="1" l="1"/>
  <c r="AC465" i="1"/>
  <c r="AD464" i="1"/>
  <c r="AE465" i="1"/>
  <c r="AG465" i="1" s="1"/>
  <c r="Y465" i="1"/>
  <c r="AB465" i="1"/>
  <c r="AA464" i="1"/>
  <c r="AH464" i="1" s="1"/>
  <c r="AI464" i="1" l="1"/>
  <c r="W465" i="1"/>
  <c r="AA465" i="1"/>
  <c r="AD465" i="1"/>
  <c r="AH465" i="1" l="1"/>
  <c r="AI465" i="1"/>
  <c r="U465" i="1"/>
  <c r="AB466" i="1" s="1"/>
  <c r="X465" i="1"/>
  <c r="V465" i="1"/>
  <c r="AF466" i="1" s="1"/>
  <c r="AE466" i="1" l="1"/>
  <c r="Y466" i="1"/>
  <c r="U466" i="1"/>
  <c r="Y467" i="1" s="1"/>
  <c r="W466" i="1"/>
  <c r="AG466" i="1"/>
  <c r="AC466" i="1"/>
  <c r="AD466" i="1" s="1"/>
  <c r="Z466" i="1"/>
  <c r="AA466" i="1" s="1"/>
  <c r="V466" i="1"/>
  <c r="AF467" i="1" s="1"/>
  <c r="X466" i="1"/>
  <c r="AB467" i="1" l="1"/>
  <c r="AE467" i="1"/>
  <c r="AH466" i="1"/>
  <c r="W467" i="1" s="1"/>
  <c r="AG467" i="1"/>
  <c r="AI466" i="1"/>
  <c r="V467" i="1" s="1"/>
  <c r="AF468" i="1" s="1"/>
  <c r="Z467" i="1"/>
  <c r="AC467" i="1"/>
  <c r="AD467" i="1" s="1"/>
  <c r="AA467" i="1"/>
  <c r="AH467" i="1" l="1"/>
  <c r="W468" i="1" s="1"/>
  <c r="AI467" i="1"/>
  <c r="Z468" i="1"/>
  <c r="AC468" i="1"/>
  <c r="X467" i="1"/>
  <c r="U467" i="1"/>
  <c r="X468" i="1" l="1"/>
  <c r="V468" i="1"/>
  <c r="AF469" i="1" s="1"/>
  <c r="AE468" i="1"/>
  <c r="AG468" i="1" s="1"/>
  <c r="Y468" i="1"/>
  <c r="AB468" i="1"/>
  <c r="AD468" i="1" s="1"/>
  <c r="U468" i="1"/>
  <c r="Z469" i="1" l="1"/>
  <c r="AC469" i="1"/>
  <c r="Y469" i="1"/>
  <c r="AB469" i="1"/>
  <c r="AD469" i="1" s="1"/>
  <c r="AE469" i="1"/>
  <c r="AG469" i="1" s="1"/>
  <c r="AA468" i="1"/>
  <c r="AH468" i="1" l="1"/>
  <c r="AI468" i="1"/>
  <c r="AA469" i="1"/>
  <c r="AH469" i="1" s="1"/>
  <c r="AI469" i="1" l="1"/>
  <c r="W469" i="1"/>
  <c r="U469" i="1"/>
  <c r="V469" i="1"/>
  <c r="AF470" i="1" s="1"/>
  <c r="X469" i="1"/>
  <c r="X470" i="1" l="1"/>
  <c r="AC470" i="1"/>
  <c r="Z470" i="1"/>
  <c r="V470" i="1"/>
  <c r="AF471" i="1" s="1"/>
  <c r="AE470" i="1"/>
  <c r="AG470" i="1" s="1"/>
  <c r="Y470" i="1"/>
  <c r="AB470" i="1"/>
  <c r="AD470" i="1" s="1"/>
  <c r="U470" i="1"/>
  <c r="W470" i="1"/>
  <c r="Y471" i="1" l="1"/>
  <c r="AE471" i="1"/>
  <c r="AB471" i="1"/>
  <c r="AC471" i="1"/>
  <c r="Z471" i="1"/>
  <c r="AA470" i="1"/>
  <c r="AH470" i="1" s="1"/>
  <c r="AG471" i="1" l="1"/>
  <c r="AI470" i="1"/>
  <c r="AD471" i="1"/>
  <c r="AA471" i="1"/>
  <c r="AH471" i="1" l="1"/>
  <c r="AI471" i="1"/>
  <c r="X471" i="1"/>
  <c r="V471" i="1"/>
  <c r="AF472" i="1" s="1"/>
  <c r="U471" i="1"/>
  <c r="W471" i="1"/>
  <c r="Y472" i="1" l="1"/>
  <c r="AE472" i="1"/>
  <c r="AB472" i="1"/>
  <c r="U472" i="1"/>
  <c r="W472" i="1"/>
  <c r="Z472" i="1"/>
  <c r="AC472" i="1"/>
  <c r="V472" i="1"/>
  <c r="AF473" i="1" s="1"/>
  <c r="X472" i="1"/>
  <c r="AG472" i="1" l="1"/>
  <c r="Z473" i="1"/>
  <c r="AC473" i="1"/>
  <c r="AD472" i="1"/>
  <c r="AB473" i="1"/>
  <c r="AD473" i="1" s="1"/>
  <c r="AE473" i="1"/>
  <c r="AG473" i="1" s="1"/>
  <c r="Y473" i="1"/>
  <c r="AA472" i="1"/>
  <c r="AH472" i="1" s="1"/>
  <c r="AI472" i="1" l="1"/>
  <c r="AA473" i="1"/>
  <c r="AI473" i="1" s="1"/>
  <c r="AH473" i="1" l="1"/>
  <c r="X473" i="1"/>
  <c r="X474" i="1" s="1"/>
  <c r="V473" i="1"/>
  <c r="AF474" i="1" s="1"/>
  <c r="U473" i="1"/>
  <c r="W473" i="1"/>
  <c r="W474" i="1" l="1"/>
  <c r="AB474" i="1"/>
  <c r="Y474" i="1"/>
  <c r="AE474" i="1"/>
  <c r="U474" i="1"/>
  <c r="AC474" i="1"/>
  <c r="Z474" i="1"/>
  <c r="V474" i="1"/>
  <c r="AF475" i="1" s="1"/>
  <c r="AG474" i="1" l="1"/>
  <c r="Z475" i="1"/>
  <c r="AC475" i="1"/>
  <c r="Y475" i="1"/>
  <c r="AE475" i="1"/>
  <c r="AG475" i="1" s="1"/>
  <c r="AB475" i="1"/>
  <c r="AD475" i="1" s="1"/>
  <c r="AA474" i="1"/>
  <c r="AD474" i="1"/>
  <c r="AH474" i="1" l="1"/>
  <c r="AI474" i="1"/>
  <c r="AA475" i="1"/>
  <c r="AI475" i="1" s="1"/>
  <c r="AH475" i="1" l="1"/>
  <c r="W475" i="1"/>
  <c r="U475" i="1"/>
  <c r="X475" i="1"/>
  <c r="X476" i="1" s="1"/>
  <c r="V475" i="1"/>
  <c r="AF476" i="1" s="1"/>
  <c r="AC476" i="1" l="1"/>
  <c r="Z476" i="1"/>
  <c r="W476" i="1"/>
  <c r="AE476" i="1"/>
  <c r="AG476" i="1" s="1"/>
  <c r="AB476" i="1"/>
  <c r="Y476" i="1"/>
  <c r="U476" i="1"/>
  <c r="V476" i="1"/>
  <c r="AF477" i="1" s="1"/>
  <c r="Z477" i="1" l="1"/>
  <c r="AC477" i="1"/>
  <c r="AA476" i="1"/>
  <c r="Y477" i="1"/>
  <c r="AB477" i="1"/>
  <c r="AE477" i="1"/>
  <c r="AG477" i="1" s="1"/>
  <c r="AD476" i="1"/>
  <c r="AH476" i="1" l="1"/>
  <c r="AI476" i="1"/>
  <c r="AA477" i="1"/>
  <c r="AD477" i="1"/>
  <c r="AH477" i="1" l="1"/>
  <c r="AI477" i="1"/>
  <c r="W477" i="1"/>
  <c r="U477" i="1"/>
  <c r="X477" i="1"/>
  <c r="V477" i="1"/>
  <c r="AF478" i="1" s="1"/>
  <c r="X478" i="1" l="1"/>
  <c r="AC478" i="1"/>
  <c r="Z478" i="1"/>
  <c r="V478" i="1"/>
  <c r="AF479" i="1" s="1"/>
  <c r="AE478" i="1"/>
  <c r="AG478" i="1" s="1"/>
  <c r="AB478" i="1"/>
  <c r="AD478" i="1" s="1"/>
  <c r="Y478" i="1"/>
  <c r="U478" i="1"/>
  <c r="W478" i="1"/>
  <c r="AA478" i="1" l="1"/>
  <c r="AH478" i="1" s="1"/>
  <c r="AE479" i="1"/>
  <c r="AB479" i="1"/>
  <c r="Y479" i="1"/>
  <c r="Z479" i="1"/>
  <c r="AC479" i="1"/>
  <c r="AG479" i="1" l="1"/>
  <c r="AI478" i="1"/>
  <c r="X479" i="1" s="1"/>
  <c r="AD479" i="1"/>
  <c r="AA479" i="1"/>
  <c r="AH479" i="1" l="1"/>
  <c r="V479" i="1"/>
  <c r="AF480" i="1" s="1"/>
  <c r="AI479" i="1"/>
  <c r="W479" i="1"/>
  <c r="U479" i="1"/>
  <c r="Z480" i="1"/>
  <c r="AC480" i="1"/>
  <c r="V480" i="1" l="1"/>
  <c r="AF481" i="1" s="1"/>
  <c r="X480" i="1"/>
  <c r="AB480" i="1"/>
  <c r="Y480" i="1"/>
  <c r="AE480" i="1"/>
  <c r="AG480" i="1" s="1"/>
  <c r="U480" i="1"/>
  <c r="AD480" i="1"/>
  <c r="W480" i="1"/>
  <c r="AE481" i="1" l="1"/>
  <c r="AB481" i="1"/>
  <c r="Y481" i="1"/>
  <c r="AA480" i="1"/>
  <c r="AC481" i="1"/>
  <c r="Z481" i="1"/>
  <c r="AG481" i="1" l="1"/>
  <c r="AH480" i="1"/>
  <c r="U481" i="1" s="1"/>
  <c r="AI480" i="1"/>
  <c r="AA481" i="1"/>
  <c r="AD481" i="1"/>
  <c r="AH481" i="1" l="1"/>
  <c r="W481" i="1"/>
  <c r="AI481" i="1"/>
  <c r="X481" i="1"/>
  <c r="V481" i="1"/>
  <c r="AF482" i="1" s="1"/>
  <c r="Y482" i="1"/>
  <c r="AB482" i="1"/>
  <c r="AE482" i="1"/>
  <c r="W482" i="1" l="1"/>
  <c r="U482" i="1"/>
  <c r="AB483" i="1" s="1"/>
  <c r="X482" i="1"/>
  <c r="Z482" i="1"/>
  <c r="AC482" i="1"/>
  <c r="AD482" i="1" s="1"/>
  <c r="AG482" i="1"/>
  <c r="V482" i="1"/>
  <c r="AF483" i="1" s="1"/>
  <c r="AE483" i="1" l="1"/>
  <c r="Y483" i="1"/>
  <c r="AA482" i="1"/>
  <c r="AH482" i="1" s="1"/>
  <c r="AC483" i="1"/>
  <c r="AD483" i="1" s="1"/>
  <c r="Z483" i="1"/>
  <c r="AG483" i="1" l="1"/>
  <c r="AA483" i="1"/>
  <c r="AI483" i="1" s="1"/>
  <c r="AI482" i="1"/>
  <c r="AH483" i="1" l="1"/>
  <c r="W483" i="1"/>
  <c r="U483" i="1"/>
  <c r="X483" i="1"/>
  <c r="X484" i="1" s="1"/>
  <c r="V483" i="1"/>
  <c r="AF484" i="1" s="1"/>
  <c r="W484" i="1" l="1"/>
  <c r="AE484" i="1"/>
  <c r="AB484" i="1"/>
  <c r="Y484" i="1"/>
  <c r="U484" i="1"/>
  <c r="Z484" i="1"/>
  <c r="AC484" i="1"/>
  <c r="AD484" i="1" s="1"/>
  <c r="V484" i="1"/>
  <c r="AF485" i="1" s="1"/>
  <c r="AG484" i="1" l="1"/>
  <c r="Y485" i="1"/>
  <c r="AB485" i="1"/>
  <c r="AE485" i="1"/>
  <c r="AA484" i="1"/>
  <c r="AH484" i="1" s="1"/>
  <c r="Z485" i="1"/>
  <c r="AC485" i="1"/>
  <c r="AG485" i="1" l="1"/>
  <c r="AI484" i="1"/>
  <c r="W485" i="1"/>
  <c r="U485" i="1"/>
  <c r="AD485" i="1"/>
  <c r="AA485" i="1"/>
  <c r="AH485" i="1" l="1"/>
  <c r="W486" i="1" s="1"/>
  <c r="AI485" i="1"/>
  <c r="X485" i="1"/>
  <c r="V485" i="1"/>
  <c r="AF486" i="1" s="1"/>
  <c r="AE486" i="1"/>
  <c r="AB486" i="1"/>
  <c r="Y486" i="1"/>
  <c r="X486" i="1" l="1"/>
  <c r="U486" i="1"/>
  <c r="AG486" i="1"/>
  <c r="Z486" i="1"/>
  <c r="AC486" i="1"/>
  <c r="AD486" i="1" s="1"/>
  <c r="V486" i="1"/>
  <c r="AF487" i="1" s="1"/>
  <c r="AA486" i="1"/>
  <c r="AH486" i="1" l="1"/>
  <c r="W487" i="1" s="1"/>
  <c r="AI486" i="1"/>
  <c r="X487" i="1" s="1"/>
  <c r="AC487" i="1"/>
  <c r="Z487" i="1"/>
  <c r="AB487" i="1"/>
  <c r="Y487" i="1"/>
  <c r="AE487" i="1"/>
  <c r="AG487" i="1" s="1"/>
  <c r="U487" i="1" l="1"/>
  <c r="AB488" i="1" s="1"/>
  <c r="AD487" i="1"/>
  <c r="AA487" i="1"/>
  <c r="AH487" i="1" s="1"/>
  <c r="V487" i="1"/>
  <c r="AF488" i="1" s="1"/>
  <c r="AI487" i="1" l="1"/>
  <c r="X488" i="1" s="1"/>
  <c r="AE488" i="1"/>
  <c r="Y488" i="1"/>
  <c r="Z488" i="1"/>
  <c r="AC488" i="1"/>
  <c r="AD488" i="1" s="1"/>
  <c r="AA488" i="1" l="1"/>
  <c r="AH488" i="1" s="1"/>
  <c r="AG488" i="1"/>
  <c r="AI488" i="1" s="1"/>
  <c r="X489" i="1" s="1"/>
  <c r="W488" i="1"/>
  <c r="U488" i="1"/>
  <c r="V488" i="1"/>
  <c r="AF489" i="1" s="1"/>
  <c r="Z489" i="1" l="1"/>
  <c r="AC489" i="1"/>
  <c r="V489" i="1"/>
  <c r="AF490" i="1" s="1"/>
  <c r="AB489" i="1"/>
  <c r="AD489" i="1" s="1"/>
  <c r="AE489" i="1"/>
  <c r="AG489" i="1" s="1"/>
  <c r="Y489" i="1"/>
  <c r="U489" i="1"/>
  <c r="W489" i="1"/>
  <c r="Y490" i="1" l="1"/>
  <c r="AB490" i="1"/>
  <c r="AE490" i="1"/>
  <c r="AG490" i="1" s="1"/>
  <c r="AC490" i="1"/>
  <c r="Z490" i="1"/>
  <c r="AA489" i="1"/>
  <c r="AH489" i="1" s="1"/>
  <c r="AI489" i="1" l="1"/>
  <c r="AD490" i="1"/>
  <c r="AA490" i="1"/>
  <c r="AH490" i="1" s="1"/>
  <c r="AI490" i="1" l="1"/>
  <c r="X490" i="1"/>
  <c r="V490" i="1"/>
  <c r="AF491" i="1" s="1"/>
  <c r="U490" i="1"/>
  <c r="W490" i="1"/>
  <c r="X491" i="1" l="1"/>
  <c r="AB491" i="1"/>
  <c r="AE491" i="1"/>
  <c r="Y491" i="1"/>
  <c r="U491" i="1"/>
  <c r="Z491" i="1"/>
  <c r="AC491" i="1"/>
  <c r="AD491" i="1" s="1"/>
  <c r="V491" i="1"/>
  <c r="AF492" i="1" s="1"/>
  <c r="W491" i="1"/>
  <c r="AG491" i="1" l="1"/>
  <c r="AC492" i="1"/>
  <c r="Z492" i="1"/>
  <c r="Y492" i="1"/>
  <c r="AE492" i="1"/>
  <c r="AG492" i="1" s="1"/>
  <c r="AB492" i="1"/>
  <c r="AA491" i="1"/>
  <c r="AI491" i="1" s="1"/>
  <c r="AH491" i="1" l="1"/>
  <c r="X492" i="1"/>
  <c r="V492" i="1"/>
  <c r="AF493" i="1" s="1"/>
  <c r="AD492" i="1"/>
  <c r="AA492" i="1"/>
  <c r="AH492" i="1" l="1"/>
  <c r="AI492" i="1"/>
  <c r="V493" i="1" s="1"/>
  <c r="AF494" i="1" s="1"/>
  <c r="W492" i="1"/>
  <c r="U492" i="1"/>
  <c r="Z493" i="1"/>
  <c r="AC493" i="1"/>
  <c r="AB493" i="1" l="1"/>
  <c r="AE493" i="1"/>
  <c r="AG493" i="1" s="1"/>
  <c r="Y493" i="1"/>
  <c r="U493" i="1"/>
  <c r="AD493" i="1"/>
  <c r="W493" i="1"/>
  <c r="Z494" i="1"/>
  <c r="AC494" i="1"/>
  <c r="X493" i="1"/>
  <c r="AA493" i="1" l="1"/>
  <c r="AE494" i="1"/>
  <c r="AG494" i="1" s="1"/>
  <c r="Y494" i="1"/>
  <c r="AB494" i="1"/>
  <c r="AD494" i="1" s="1"/>
  <c r="AH493" i="1" l="1"/>
  <c r="AI493" i="1"/>
  <c r="AA494" i="1"/>
  <c r="AH494" i="1" l="1"/>
  <c r="AI494" i="1"/>
  <c r="U494" i="1"/>
  <c r="W494" i="1"/>
  <c r="X494" i="1"/>
  <c r="V494" i="1"/>
  <c r="AF495" i="1" s="1"/>
  <c r="W495" i="1" l="1"/>
  <c r="Z495" i="1"/>
  <c r="AC495" i="1"/>
  <c r="V495" i="1"/>
  <c r="AF496" i="1" s="1"/>
  <c r="AE495" i="1"/>
  <c r="AG495" i="1" s="1"/>
  <c r="Y495" i="1"/>
  <c r="AB495" i="1"/>
  <c r="AD495" i="1" s="1"/>
  <c r="U495" i="1"/>
  <c r="X495" i="1"/>
  <c r="AE496" i="1" l="1"/>
  <c r="Y496" i="1"/>
  <c r="AB496" i="1"/>
  <c r="AC496" i="1"/>
  <c r="Z496" i="1"/>
  <c r="AA495" i="1"/>
  <c r="AH495" i="1" s="1"/>
  <c r="AG496" i="1" l="1"/>
  <c r="AI495" i="1"/>
  <c r="AD496" i="1"/>
  <c r="AA496" i="1"/>
  <c r="AH496" i="1" l="1"/>
  <c r="AI496" i="1"/>
  <c r="W496" i="1"/>
  <c r="U496" i="1"/>
  <c r="X496" i="1"/>
  <c r="V496" i="1"/>
  <c r="AF497" i="1" s="1"/>
  <c r="X497" i="1" l="1"/>
  <c r="AC497" i="1"/>
  <c r="Z497" i="1"/>
  <c r="V497" i="1"/>
  <c r="AF498" i="1" s="1"/>
  <c r="Y497" i="1"/>
  <c r="AE497" i="1"/>
  <c r="AG497" i="1" s="1"/>
  <c r="AB497" i="1"/>
  <c r="AD497" i="1" s="1"/>
  <c r="U497" i="1"/>
  <c r="W497" i="1"/>
  <c r="AB498" i="1" l="1"/>
  <c r="AE498" i="1"/>
  <c r="Y498" i="1"/>
  <c r="Z498" i="1"/>
  <c r="AC498" i="1"/>
  <c r="AD498" i="1" s="1"/>
  <c r="AA497" i="1"/>
  <c r="AH497" i="1" s="1"/>
  <c r="AG498" i="1" l="1"/>
  <c r="AI497" i="1"/>
  <c r="AA498" i="1"/>
  <c r="AI498" i="1" s="1"/>
  <c r="AH498" i="1" l="1"/>
  <c r="V498" i="1"/>
  <c r="AF499" i="1" s="1"/>
  <c r="X498" i="1"/>
  <c r="X499" i="1" s="1"/>
  <c r="W498" i="1"/>
  <c r="U498" i="1"/>
  <c r="U499" i="1" l="1"/>
  <c r="Y499" i="1"/>
  <c r="AB499" i="1"/>
  <c r="AE499" i="1"/>
  <c r="W499" i="1"/>
  <c r="V499" i="1"/>
  <c r="AF500" i="1" s="1"/>
  <c r="AC499" i="1"/>
  <c r="Z499" i="1"/>
  <c r="AG499" i="1" l="1"/>
  <c r="Z500" i="1"/>
  <c r="AC500" i="1"/>
  <c r="AD499" i="1"/>
  <c r="AA499" i="1"/>
  <c r="AB500" i="1"/>
  <c r="AE500" i="1"/>
  <c r="AG500" i="1" s="1"/>
  <c r="Y500" i="1"/>
  <c r="AH499" i="1" l="1"/>
  <c r="AI499" i="1"/>
  <c r="AD500" i="1"/>
  <c r="AA500" i="1"/>
  <c r="AH500" i="1" s="1"/>
  <c r="AI500" i="1" l="1"/>
  <c r="U500" i="1"/>
  <c r="W500" i="1"/>
  <c r="V500" i="1"/>
  <c r="AF501" i="1" s="1"/>
  <c r="X500" i="1"/>
  <c r="W501" i="1" l="1"/>
  <c r="X501" i="1"/>
  <c r="Y501" i="1"/>
  <c r="AE501" i="1"/>
  <c r="U501" i="1"/>
  <c r="AB501" i="1"/>
  <c r="AC501" i="1"/>
  <c r="Z501" i="1"/>
  <c r="V501" i="1"/>
  <c r="AF502" i="1" s="1"/>
  <c r="AG501" i="1" l="1"/>
  <c r="AD501" i="1"/>
  <c r="AC502" i="1"/>
  <c r="Z502" i="1"/>
  <c r="AE502" i="1"/>
  <c r="AG502" i="1" s="1"/>
  <c r="AB502" i="1"/>
  <c r="Y502" i="1"/>
  <c r="AA501" i="1"/>
  <c r="AI501" i="1" l="1"/>
  <c r="X502" i="1" s="1"/>
  <c r="AH501" i="1"/>
  <c r="AA502" i="1"/>
  <c r="AD502" i="1"/>
  <c r="V502" i="1" l="1"/>
  <c r="AF503" i="1" s="1"/>
  <c r="AH502" i="1"/>
  <c r="AI502" i="1"/>
  <c r="X503" i="1" s="1"/>
  <c r="W502" i="1"/>
  <c r="U502" i="1"/>
  <c r="AC503" i="1"/>
  <c r="Z503" i="1"/>
  <c r="V503" i="1" l="1"/>
  <c r="AF504" i="1" s="1"/>
  <c r="AB503" i="1"/>
  <c r="AD503" i="1" s="1"/>
  <c r="AE503" i="1"/>
  <c r="AG503" i="1" s="1"/>
  <c r="Y503" i="1"/>
  <c r="U503" i="1"/>
  <c r="W503" i="1"/>
  <c r="Y504" i="1" l="1"/>
  <c r="AE504" i="1"/>
  <c r="AB504" i="1"/>
  <c r="AA503" i="1"/>
  <c r="Z504" i="1"/>
  <c r="AC504" i="1"/>
  <c r="AD504" i="1" s="1"/>
  <c r="AG504" i="1" l="1"/>
  <c r="AH503" i="1"/>
  <c r="AI503" i="1"/>
  <c r="AA504" i="1"/>
  <c r="AI504" i="1" s="1"/>
  <c r="AH504" i="1" l="1"/>
  <c r="U504" i="1"/>
  <c r="W504" i="1"/>
  <c r="V504" i="1"/>
  <c r="AF505" i="1" s="1"/>
  <c r="X504" i="1"/>
  <c r="X505" i="1" s="1"/>
  <c r="AC505" i="1" l="1"/>
  <c r="Z505" i="1"/>
  <c r="V505" i="1"/>
  <c r="AF506" i="1" s="1"/>
  <c r="W505" i="1"/>
  <c r="AE505" i="1"/>
  <c r="AG505" i="1" s="1"/>
  <c r="AB505" i="1"/>
  <c r="Y505" i="1"/>
  <c r="U505" i="1"/>
  <c r="AA505" i="1" l="1"/>
  <c r="AE506" i="1"/>
  <c r="AB506" i="1"/>
  <c r="Y506" i="1"/>
  <c r="AD505" i="1"/>
  <c r="Z506" i="1"/>
  <c r="AC506" i="1"/>
  <c r="AG506" i="1" l="1"/>
  <c r="AH505" i="1"/>
  <c r="AI505" i="1"/>
  <c r="AA506" i="1"/>
  <c r="AD506" i="1"/>
  <c r="AH506" i="1" l="1"/>
  <c r="AI506" i="1"/>
  <c r="U506" i="1"/>
  <c r="W506" i="1"/>
  <c r="V506" i="1"/>
  <c r="AF507" i="1" s="1"/>
  <c r="X506" i="1"/>
  <c r="X507" i="1" l="1"/>
  <c r="AC507" i="1"/>
  <c r="Z507" i="1"/>
  <c r="V507" i="1"/>
  <c r="AF508" i="1" s="1"/>
  <c r="W507" i="1"/>
  <c r="Y507" i="1"/>
  <c r="AB507" i="1"/>
  <c r="AD507" i="1" s="1"/>
  <c r="AE507" i="1"/>
  <c r="AG507" i="1" s="1"/>
  <c r="U507" i="1"/>
  <c r="AE508" i="1" l="1"/>
  <c r="Y508" i="1"/>
  <c r="AB508" i="1"/>
  <c r="Z508" i="1"/>
  <c r="AC508" i="1"/>
  <c r="AD508" i="1" s="1"/>
  <c r="AA507" i="1"/>
  <c r="AH507" i="1" s="1"/>
  <c r="AG508" i="1" l="1"/>
  <c r="AI507" i="1"/>
  <c r="AA508" i="1"/>
  <c r="AI508" i="1" s="1"/>
  <c r="AH508" i="1" l="1"/>
  <c r="V508" i="1"/>
  <c r="AF509" i="1" s="1"/>
  <c r="X508" i="1"/>
  <c r="X509" i="1" s="1"/>
  <c r="U508" i="1"/>
  <c r="W508" i="1"/>
  <c r="AB509" i="1" l="1"/>
  <c r="Y509" i="1"/>
  <c r="AE509" i="1"/>
  <c r="U509" i="1"/>
  <c r="W509" i="1"/>
  <c r="AC509" i="1"/>
  <c r="AD509" i="1" s="1"/>
  <c r="Z509" i="1"/>
  <c r="V509" i="1"/>
  <c r="AF510" i="1" s="1"/>
  <c r="AG509" i="1" l="1"/>
  <c r="AE510" i="1"/>
  <c r="Y510" i="1"/>
  <c r="AB510" i="1"/>
  <c r="AC510" i="1"/>
  <c r="Z510" i="1"/>
  <c r="AA509" i="1"/>
  <c r="AH509" i="1" s="1"/>
  <c r="AG510" i="1" l="1"/>
  <c r="AI509" i="1"/>
  <c r="W510" i="1"/>
  <c r="AD510" i="1"/>
  <c r="AA510" i="1"/>
  <c r="AI510" i="1" s="1"/>
  <c r="AH510" i="1" l="1"/>
  <c r="U510" i="1"/>
  <c r="AE511" i="1" s="1"/>
  <c r="X510" i="1"/>
  <c r="X511" i="1" s="1"/>
  <c r="V510" i="1"/>
  <c r="AF511" i="1" s="1"/>
  <c r="AB511" i="1" l="1"/>
  <c r="Y511" i="1"/>
  <c r="U511" i="1"/>
  <c r="AE512" i="1" s="1"/>
  <c r="W511" i="1"/>
  <c r="AG511" i="1"/>
  <c r="AC511" i="1"/>
  <c r="AD511" i="1" s="1"/>
  <c r="Z511" i="1"/>
  <c r="V511" i="1"/>
  <c r="AF512" i="1" s="1"/>
  <c r="Y512" i="1" l="1"/>
  <c r="AB512" i="1"/>
  <c r="AA511" i="1"/>
  <c r="AH511" i="1" s="1"/>
  <c r="AC512" i="1"/>
  <c r="AD512" i="1" s="1"/>
  <c r="AG512" i="1"/>
  <c r="Z512" i="1"/>
  <c r="AI511" i="1" l="1"/>
  <c r="AA512" i="1"/>
  <c r="AH512" i="1" s="1"/>
  <c r="AI512" i="1" l="1"/>
  <c r="V512" i="1"/>
  <c r="AF513" i="1" s="1"/>
  <c r="X512" i="1"/>
  <c r="U512" i="1"/>
  <c r="W512" i="1"/>
  <c r="Y513" i="1" l="1"/>
  <c r="AE513" i="1"/>
  <c r="AB513" i="1"/>
  <c r="U513" i="1"/>
  <c r="X513" i="1"/>
  <c r="W513" i="1"/>
  <c r="AC513" i="1"/>
  <c r="Z513" i="1"/>
  <c r="V513" i="1"/>
  <c r="AF514" i="1" s="1"/>
  <c r="AG513" i="1" l="1"/>
  <c r="Y514" i="1"/>
  <c r="AE514" i="1"/>
  <c r="AG514" i="1" s="1"/>
  <c r="AB514" i="1"/>
  <c r="AD513" i="1"/>
  <c r="Z514" i="1"/>
  <c r="AC514" i="1"/>
  <c r="AD514" i="1" s="1"/>
  <c r="AA513" i="1"/>
  <c r="AH513" i="1" s="1"/>
  <c r="AI513" i="1" l="1"/>
  <c r="AA514" i="1"/>
  <c r="AI514" i="1" s="1"/>
  <c r="AH514" i="1" l="1"/>
  <c r="W514" i="1"/>
  <c r="U514" i="1"/>
  <c r="X514" i="1"/>
  <c r="X515" i="1" s="1"/>
  <c r="V514" i="1"/>
  <c r="AF515" i="1" s="1"/>
  <c r="AB515" i="1" l="1"/>
  <c r="Y515" i="1"/>
  <c r="AE515" i="1"/>
  <c r="U515" i="1"/>
  <c r="W515" i="1"/>
  <c r="AC515" i="1"/>
  <c r="AD515" i="1" s="1"/>
  <c r="Z515" i="1"/>
  <c r="V515" i="1"/>
  <c r="AF516" i="1" s="1"/>
  <c r="AG515" i="1" l="1"/>
  <c r="AE516" i="1"/>
  <c r="Y516" i="1"/>
  <c r="AB516" i="1"/>
  <c r="Z516" i="1"/>
  <c r="AC516" i="1"/>
  <c r="AD516" i="1" s="1"/>
  <c r="AA515" i="1"/>
  <c r="AH515" i="1" s="1"/>
  <c r="AG516" i="1" l="1"/>
  <c r="AI515" i="1"/>
  <c r="AA516" i="1"/>
  <c r="AI516" i="1" s="1"/>
  <c r="AH516" i="1" l="1"/>
  <c r="V516" i="1"/>
  <c r="AF517" i="1" s="1"/>
  <c r="X516" i="1"/>
  <c r="X517" i="1" s="1"/>
  <c r="U516" i="1"/>
  <c r="W516" i="1"/>
  <c r="U517" i="1" l="1"/>
  <c r="Y517" i="1"/>
  <c r="AE517" i="1"/>
  <c r="AB517" i="1"/>
  <c r="W517" i="1"/>
  <c r="V517" i="1"/>
  <c r="AF518" i="1" s="1"/>
  <c r="AC517" i="1"/>
  <c r="Z517" i="1"/>
  <c r="AG517" i="1" l="1"/>
  <c r="Z518" i="1"/>
  <c r="AC518" i="1"/>
  <c r="AD517" i="1"/>
  <c r="AA517" i="1"/>
  <c r="AE518" i="1"/>
  <c r="AG518" i="1" s="1"/>
  <c r="AB518" i="1"/>
  <c r="Y518" i="1"/>
  <c r="AH517" i="1" l="1"/>
  <c r="AI517" i="1"/>
  <c r="AD518" i="1"/>
  <c r="AA518" i="1"/>
  <c r="AH518" i="1" s="1"/>
  <c r="AI518" i="1" l="1"/>
  <c r="U518" i="1"/>
  <c r="W518" i="1"/>
  <c r="V518" i="1"/>
  <c r="AF519" i="1" s="1"/>
  <c r="X518" i="1"/>
  <c r="X519" i="1" l="1"/>
  <c r="AC519" i="1"/>
  <c r="Z519" i="1"/>
  <c r="V519" i="1"/>
  <c r="AF520" i="1" s="1"/>
  <c r="W519" i="1"/>
  <c r="AB519" i="1"/>
  <c r="AD519" i="1" s="1"/>
  <c r="AE519" i="1"/>
  <c r="AG519" i="1" s="1"/>
  <c r="Y519" i="1"/>
  <c r="U519" i="1"/>
  <c r="AA519" i="1" l="1"/>
  <c r="AH519" i="1" s="1"/>
  <c r="AC520" i="1"/>
  <c r="Z520" i="1"/>
  <c r="AB520" i="1"/>
  <c r="Y520" i="1"/>
  <c r="AE520" i="1"/>
  <c r="AG520" i="1" s="1"/>
  <c r="AI519" i="1" l="1"/>
  <c r="X520" i="1" s="1"/>
  <c r="AA520" i="1"/>
  <c r="AD520" i="1"/>
  <c r="AH520" i="1" l="1"/>
  <c r="V520" i="1"/>
  <c r="AI520" i="1"/>
  <c r="X521" i="1" s="1"/>
  <c r="U520" i="1"/>
  <c r="W520" i="1"/>
  <c r="Z521" i="1" l="1"/>
  <c r="AF521" i="1"/>
  <c r="AC521" i="1"/>
  <c r="AB521" i="1"/>
  <c r="Y521" i="1"/>
  <c r="AE521" i="1"/>
  <c r="AG521" i="1" s="1"/>
  <c r="U521" i="1"/>
  <c r="W521" i="1"/>
  <c r="V521" i="1"/>
  <c r="AF522" i="1" s="1"/>
  <c r="AD521" i="1" l="1"/>
  <c r="AC522" i="1"/>
  <c r="Z522" i="1"/>
  <c r="AB522" i="1"/>
  <c r="Y522" i="1"/>
  <c r="AE522" i="1"/>
  <c r="AG522" i="1" s="1"/>
  <c r="AA521" i="1"/>
  <c r="AH521" i="1" l="1"/>
  <c r="U522" i="1" s="1"/>
  <c r="AI521" i="1"/>
  <c r="AA522" i="1"/>
  <c r="AD522" i="1"/>
  <c r="AH522" i="1" l="1"/>
  <c r="W522" i="1"/>
  <c r="AI522" i="1"/>
  <c r="V522" i="1"/>
  <c r="AF523" i="1" s="1"/>
  <c r="X522" i="1"/>
  <c r="Y523" i="1"/>
  <c r="AB523" i="1"/>
  <c r="AE523" i="1"/>
  <c r="U523" i="1" l="1"/>
  <c r="AE524" i="1" s="1"/>
  <c r="W523" i="1"/>
  <c r="X523" i="1"/>
  <c r="AC523" i="1"/>
  <c r="AD523" i="1" s="1"/>
  <c r="AG523" i="1"/>
  <c r="Z523" i="1"/>
  <c r="V523" i="1"/>
  <c r="AF524" i="1" s="1"/>
  <c r="Y524" i="1" l="1"/>
  <c r="AB524" i="1"/>
  <c r="AA523" i="1"/>
  <c r="AH523" i="1" s="1"/>
  <c r="W524" i="1" s="1"/>
  <c r="AG524" i="1"/>
  <c r="Z524" i="1"/>
  <c r="AC524" i="1"/>
  <c r="AD524" i="1" s="1"/>
  <c r="AI523" i="1" l="1"/>
  <c r="X524" i="1" s="1"/>
  <c r="AA524" i="1"/>
  <c r="AH524" i="1" s="1"/>
  <c r="U524" i="1"/>
  <c r="V524" i="1" l="1"/>
  <c r="AF525" i="1" s="1"/>
  <c r="AI524" i="1"/>
  <c r="X525" i="1" s="1"/>
  <c r="AE525" i="1"/>
  <c r="AB525" i="1"/>
  <c r="Y525" i="1"/>
  <c r="AC525" i="1"/>
  <c r="AD525" i="1" s="1"/>
  <c r="Z525" i="1"/>
  <c r="W525" i="1"/>
  <c r="AG525" i="1" l="1"/>
  <c r="U525" i="1"/>
  <c r="AA525" i="1"/>
  <c r="AH525" i="1" s="1"/>
  <c r="V525" i="1"/>
  <c r="AF526" i="1" s="1"/>
  <c r="AI525" i="1" l="1"/>
  <c r="W526" i="1"/>
  <c r="Y526" i="1"/>
  <c r="AE526" i="1"/>
  <c r="AB526" i="1"/>
  <c r="Z526" i="1"/>
  <c r="AC526" i="1"/>
  <c r="AG526" i="1" l="1"/>
  <c r="AD526" i="1"/>
  <c r="U526" i="1"/>
  <c r="AA526" i="1"/>
  <c r="AI526" i="1" s="1"/>
  <c r="V526" i="1"/>
  <c r="AF527" i="1" s="1"/>
  <c r="X526" i="1"/>
  <c r="AH526" i="1" l="1"/>
  <c r="W527" i="1" s="1"/>
  <c r="X527" i="1"/>
  <c r="AC527" i="1"/>
  <c r="Z527" i="1"/>
  <c r="V527" i="1"/>
  <c r="AF528" i="1" s="1"/>
  <c r="AB527" i="1"/>
  <c r="AD527" i="1" s="1"/>
  <c r="Y527" i="1"/>
  <c r="AE527" i="1"/>
  <c r="AG527" i="1" s="1"/>
  <c r="AA527" i="1" l="1"/>
  <c r="U527" i="1"/>
  <c r="Z528" i="1"/>
  <c r="AC528" i="1"/>
  <c r="AI527" i="1" l="1"/>
  <c r="V528" i="1" s="1"/>
  <c r="AF529" i="1" s="1"/>
  <c r="AH527" i="1"/>
  <c r="W528" i="1" s="1"/>
  <c r="Y528" i="1"/>
  <c r="AB528" i="1"/>
  <c r="AD528" i="1" s="1"/>
  <c r="AE528" i="1"/>
  <c r="AG528" i="1" s="1"/>
  <c r="Z529" i="1" l="1"/>
  <c r="AC529" i="1"/>
  <c r="X528" i="1"/>
  <c r="AA528" i="1"/>
  <c r="U528" i="1"/>
  <c r="AH528" i="1" l="1"/>
  <c r="W529" i="1" s="1"/>
  <c r="AI528" i="1"/>
  <c r="AE529" i="1"/>
  <c r="AG529" i="1" s="1"/>
  <c r="Y529" i="1"/>
  <c r="AB529" i="1"/>
  <c r="AD529" i="1" s="1"/>
  <c r="AA529" i="1" l="1"/>
  <c r="X529" i="1"/>
  <c r="V529" i="1"/>
  <c r="AF530" i="1" s="1"/>
  <c r="U529" i="1"/>
  <c r="AH529" i="1" l="1"/>
  <c r="W530" i="1" s="1"/>
  <c r="AI529" i="1"/>
  <c r="V530" i="1" s="1"/>
  <c r="AF531" i="1" s="1"/>
  <c r="AC530" i="1"/>
  <c r="Z530" i="1"/>
  <c r="AB530" i="1"/>
  <c r="AE530" i="1"/>
  <c r="AG530" i="1" s="1"/>
  <c r="Y530" i="1"/>
  <c r="AA530" i="1" l="1"/>
  <c r="AC531" i="1"/>
  <c r="Z531" i="1"/>
  <c r="U530" i="1"/>
  <c r="X530" i="1"/>
  <c r="AD530" i="1"/>
  <c r="AH530" i="1" l="1"/>
  <c r="W531" i="1" s="1"/>
  <c r="AI530" i="1"/>
  <c r="X531" i="1" s="1"/>
  <c r="AE531" i="1"/>
  <c r="AG531" i="1" s="1"/>
  <c r="Y531" i="1"/>
  <c r="AB531" i="1"/>
  <c r="AD531" i="1" s="1"/>
  <c r="V531" i="1" l="1"/>
  <c r="AF532" i="1" s="1"/>
  <c r="U531" i="1"/>
  <c r="AA531" i="1"/>
  <c r="Z532" i="1"/>
  <c r="AC532" i="1"/>
  <c r="AH531" i="1" l="1"/>
  <c r="W532" i="1" s="1"/>
  <c r="AI531" i="1"/>
  <c r="AE532" i="1"/>
  <c r="AG532" i="1" s="1"/>
  <c r="Y532" i="1"/>
  <c r="AB532" i="1"/>
  <c r="AD532" i="1" s="1"/>
  <c r="U532" i="1" l="1"/>
  <c r="AA532" i="1"/>
  <c r="V532" i="1"/>
  <c r="AF533" i="1" s="1"/>
  <c r="X532" i="1"/>
  <c r="AH532" i="1" l="1"/>
  <c r="W533" i="1" s="1"/>
  <c r="AI532" i="1"/>
  <c r="X533" i="1" s="1"/>
  <c r="AC533" i="1"/>
  <c r="Z533" i="1"/>
  <c r="AE533" i="1"/>
  <c r="AG533" i="1" s="1"/>
  <c r="AB533" i="1"/>
  <c r="AD533" i="1" s="1"/>
  <c r="Y533" i="1"/>
  <c r="U533" i="1" l="1"/>
  <c r="V533" i="1"/>
  <c r="AF534" i="1" s="1"/>
  <c r="AA533" i="1"/>
  <c r="AH533" i="1" s="1"/>
  <c r="AI533" i="1" l="1"/>
  <c r="AC534" i="1"/>
  <c r="Z534" i="1"/>
  <c r="AB534" i="1"/>
  <c r="AD534" i="1" s="1"/>
  <c r="Y534" i="1"/>
  <c r="AE534" i="1"/>
  <c r="AG534" i="1" s="1"/>
  <c r="W534" i="1"/>
  <c r="U534" i="1" l="1"/>
  <c r="AA534" i="1"/>
  <c r="AH534" i="1" s="1"/>
  <c r="V534" i="1"/>
  <c r="AF535" i="1" s="1"/>
  <c r="X534" i="1"/>
  <c r="AI534" i="1" l="1"/>
  <c r="X535" i="1" s="1"/>
  <c r="AC535" i="1"/>
  <c r="Z535" i="1"/>
  <c r="AE535" i="1"/>
  <c r="AG535" i="1" s="1"/>
  <c r="Y535" i="1"/>
  <c r="AB535" i="1"/>
  <c r="W535" i="1"/>
  <c r="AA535" i="1" l="1"/>
  <c r="V535" i="1"/>
  <c r="AF536" i="1" s="1"/>
  <c r="AD535" i="1"/>
  <c r="U535" i="1"/>
  <c r="AH535" i="1" l="1"/>
  <c r="W536" i="1" s="1"/>
  <c r="AI535" i="1"/>
  <c r="Y536" i="1"/>
  <c r="AB536" i="1"/>
  <c r="AE536" i="1"/>
  <c r="AC536" i="1"/>
  <c r="Z536" i="1"/>
  <c r="AG536" i="1" l="1"/>
  <c r="V536" i="1"/>
  <c r="AF537" i="1" s="1"/>
  <c r="X536" i="1"/>
  <c r="AD536" i="1"/>
  <c r="U536" i="1"/>
  <c r="AA536" i="1"/>
  <c r="AI536" i="1" s="1"/>
  <c r="AH536" i="1" l="1"/>
  <c r="W537" i="1" s="1"/>
  <c r="AE537" i="1"/>
  <c r="Y537" i="1"/>
  <c r="AB537" i="1"/>
  <c r="X537" i="1"/>
  <c r="AC537" i="1"/>
  <c r="Z537" i="1"/>
  <c r="AG537" i="1" l="1"/>
  <c r="U537" i="1"/>
  <c r="AD537" i="1"/>
  <c r="AA537" i="1"/>
  <c r="AH537" i="1" s="1"/>
  <c r="V537" i="1"/>
  <c r="AF538" i="1" s="1"/>
  <c r="AE538" i="1"/>
  <c r="Y538" i="1"/>
  <c r="AB538" i="1"/>
  <c r="AI537" i="1" l="1"/>
  <c r="AC538" i="1"/>
  <c r="AD538" i="1" s="1"/>
  <c r="Z538" i="1"/>
  <c r="AG538" i="1"/>
  <c r="AA538" i="1" l="1"/>
  <c r="AH538" i="1" s="1"/>
  <c r="V538" i="1"/>
  <c r="AF539" i="1" s="1"/>
  <c r="X538" i="1"/>
  <c r="W538" i="1"/>
  <c r="U538" i="1"/>
  <c r="AI538" i="1" l="1"/>
  <c r="V539" i="1" s="1"/>
  <c r="AF540" i="1" s="1"/>
  <c r="W539" i="1"/>
  <c r="AC539" i="1"/>
  <c r="Z539" i="1"/>
  <c r="AB539" i="1"/>
  <c r="AE539" i="1"/>
  <c r="AG539" i="1" s="1"/>
  <c r="U539" i="1"/>
  <c r="Y539" i="1"/>
  <c r="X539" i="1" l="1"/>
  <c r="AE540" i="1"/>
  <c r="AB540" i="1"/>
  <c r="Y540" i="1"/>
  <c r="AD539" i="1"/>
  <c r="Z540" i="1"/>
  <c r="AC540" i="1"/>
  <c r="AD540" i="1" s="1"/>
  <c r="AA539" i="1"/>
  <c r="AH539" i="1" s="1"/>
  <c r="AG540" i="1" l="1"/>
  <c r="AI539" i="1"/>
  <c r="AA540" i="1"/>
  <c r="AH540" i="1" s="1"/>
  <c r="AI540" i="1" l="1"/>
  <c r="V540" i="1"/>
  <c r="AF541" i="1" s="1"/>
  <c r="X540" i="1"/>
  <c r="W540" i="1"/>
  <c r="U540" i="1"/>
  <c r="U541" i="1" l="1"/>
  <c r="Y541" i="1"/>
  <c r="AB541" i="1"/>
  <c r="AE541" i="1"/>
  <c r="X541" i="1"/>
  <c r="V541" i="1"/>
  <c r="AF542" i="1" s="1"/>
  <c r="AC541" i="1"/>
  <c r="AD541" i="1" s="1"/>
  <c r="Z541" i="1"/>
  <c r="W541" i="1"/>
  <c r="AG541" i="1" l="1"/>
  <c r="AC542" i="1"/>
  <c r="Z542" i="1"/>
  <c r="AA541" i="1"/>
  <c r="AH541" i="1" s="1"/>
  <c r="AE542" i="1"/>
  <c r="AG542" i="1" s="1"/>
  <c r="AB542" i="1"/>
  <c r="Y542" i="1"/>
  <c r="AI541" i="1" l="1"/>
  <c r="AA542" i="1"/>
  <c r="AD542" i="1"/>
  <c r="AH542" i="1" l="1"/>
  <c r="AI542" i="1"/>
  <c r="U542" i="1"/>
  <c r="W542" i="1"/>
  <c r="V542" i="1"/>
  <c r="AF543" i="1" s="1"/>
  <c r="X542" i="1"/>
  <c r="X543" i="1" l="1"/>
  <c r="V543" i="1"/>
  <c r="AF544" i="1" s="1"/>
  <c r="AC543" i="1"/>
  <c r="Z543" i="1"/>
  <c r="W543" i="1"/>
  <c r="U543" i="1"/>
  <c r="AB543" i="1"/>
  <c r="AD543" i="1" s="1"/>
  <c r="AE543" i="1"/>
  <c r="AG543" i="1" s="1"/>
  <c r="Y543" i="1"/>
  <c r="AA543" i="1" l="1"/>
  <c r="AH543" i="1" s="1"/>
  <c r="AB544" i="1"/>
  <c r="Y544" i="1"/>
  <c r="AE544" i="1"/>
  <c r="AC544" i="1"/>
  <c r="AD544" i="1" s="1"/>
  <c r="Z544" i="1"/>
  <c r="AG544" i="1" l="1"/>
  <c r="AI543" i="1"/>
  <c r="AA544" i="1"/>
  <c r="AI544" i="1" s="1"/>
  <c r="AH544" i="1" l="1"/>
  <c r="V544" i="1"/>
  <c r="AF545" i="1" s="1"/>
  <c r="X544" i="1"/>
  <c r="X545" i="1" s="1"/>
  <c r="W544" i="1"/>
  <c r="U544" i="1"/>
  <c r="W545" i="1" l="1"/>
  <c r="Y545" i="1"/>
  <c r="AE545" i="1"/>
  <c r="AB545" i="1"/>
  <c r="U545" i="1"/>
  <c r="AC545" i="1"/>
  <c r="Z545" i="1"/>
  <c r="V545" i="1"/>
  <c r="AF546" i="1" s="1"/>
  <c r="AG545" i="1" l="1"/>
  <c r="Z546" i="1"/>
  <c r="AC546" i="1"/>
  <c r="AE546" i="1"/>
  <c r="AG546" i="1" s="1"/>
  <c r="AB546" i="1"/>
  <c r="Y546" i="1"/>
  <c r="AD545" i="1"/>
  <c r="AA545" i="1"/>
  <c r="AH545" i="1" l="1"/>
  <c r="AI545" i="1"/>
  <c r="AA546" i="1"/>
  <c r="AD546" i="1"/>
  <c r="AH546" i="1" l="1"/>
  <c r="AI546" i="1"/>
  <c r="W546" i="1"/>
  <c r="U546" i="1"/>
  <c r="V546" i="1"/>
  <c r="AF547" i="1" s="1"/>
  <c r="X546" i="1"/>
  <c r="X547" i="1" l="1"/>
  <c r="Z547" i="1"/>
  <c r="AC547" i="1"/>
  <c r="V547" i="1"/>
  <c r="AF548" i="1" s="1"/>
  <c r="Y547" i="1"/>
  <c r="AB547" i="1"/>
  <c r="AD547" i="1" s="1"/>
  <c r="AE547" i="1"/>
  <c r="AG547" i="1" s="1"/>
  <c r="U547" i="1"/>
  <c r="W547" i="1"/>
  <c r="AE548" i="1" l="1"/>
  <c r="Y548" i="1"/>
  <c r="AB548" i="1"/>
  <c r="AA547" i="1"/>
  <c r="AH547" i="1" s="1"/>
  <c r="AC548" i="1"/>
  <c r="Z548" i="1"/>
  <c r="AD548" i="1" l="1"/>
  <c r="AG548" i="1"/>
  <c r="AI547" i="1"/>
  <c r="V548" i="1" s="1"/>
  <c r="AF549" i="1" s="1"/>
  <c r="AA548" i="1"/>
  <c r="AI548" i="1" s="1"/>
  <c r="X548" i="1" l="1"/>
  <c r="AH548" i="1"/>
  <c r="U548" i="1"/>
  <c r="W548" i="1"/>
  <c r="X549" i="1"/>
  <c r="Z549" i="1"/>
  <c r="AC549" i="1"/>
  <c r="V549" i="1"/>
  <c r="AF550" i="1" s="1"/>
  <c r="W549" i="1" l="1"/>
  <c r="AC550" i="1"/>
  <c r="Z550" i="1"/>
  <c r="Y549" i="1"/>
  <c r="AB549" i="1"/>
  <c r="AD549" i="1" s="1"/>
  <c r="AE549" i="1"/>
  <c r="AG549" i="1" s="1"/>
  <c r="U549" i="1"/>
  <c r="AE550" i="1" l="1"/>
  <c r="AG550" i="1" s="1"/>
  <c r="Y550" i="1"/>
  <c r="AB550" i="1"/>
  <c r="AA549" i="1"/>
  <c r="AD550" i="1"/>
  <c r="AH549" i="1" l="1"/>
  <c r="AI549" i="1"/>
  <c r="AA550" i="1"/>
  <c r="AH550" i="1" l="1"/>
  <c r="AI550" i="1"/>
  <c r="U550" i="1"/>
  <c r="W550" i="1"/>
  <c r="V550" i="1"/>
  <c r="AF551" i="1" s="1"/>
  <c r="X550" i="1"/>
  <c r="Z551" i="1" l="1"/>
  <c r="AC551" i="1"/>
  <c r="V551" i="1"/>
  <c r="AF552" i="1" s="1"/>
  <c r="X551" i="1"/>
  <c r="W551" i="1"/>
  <c r="AE551" i="1"/>
  <c r="AG551" i="1" s="1"/>
  <c r="AB551" i="1"/>
  <c r="AD551" i="1" s="1"/>
  <c r="U551" i="1"/>
  <c r="Y551" i="1"/>
  <c r="AA551" i="1" l="1"/>
  <c r="AH551" i="1" s="1"/>
  <c r="Z552" i="1"/>
  <c r="AC552" i="1"/>
  <c r="AE552" i="1"/>
  <c r="AG552" i="1" s="1"/>
  <c r="Y552" i="1"/>
  <c r="AB552" i="1"/>
  <c r="AI551" i="1" l="1"/>
  <c r="AD552" i="1"/>
  <c r="AA552" i="1"/>
  <c r="AH552" i="1" s="1"/>
  <c r="AI552" i="1" l="1"/>
  <c r="V552" i="1"/>
  <c r="AF553" i="1" s="1"/>
  <c r="X552" i="1"/>
  <c r="W552" i="1"/>
  <c r="U552" i="1"/>
  <c r="Y553" i="1" l="1"/>
  <c r="AE553" i="1"/>
  <c r="AB553" i="1"/>
  <c r="U553" i="1"/>
  <c r="W553" i="1"/>
  <c r="V553" i="1"/>
  <c r="AF554" i="1" s="1"/>
  <c r="X553" i="1"/>
  <c r="AC553" i="1"/>
  <c r="Z553" i="1"/>
  <c r="AG553" i="1" l="1"/>
  <c r="AC554" i="1"/>
  <c r="Z554" i="1"/>
  <c r="AE554" i="1"/>
  <c r="AG554" i="1" s="1"/>
  <c r="AB554" i="1"/>
  <c r="Y554" i="1"/>
  <c r="AD553" i="1"/>
  <c r="AA553" i="1"/>
  <c r="AH553" i="1" l="1"/>
  <c r="AI553" i="1"/>
  <c r="V554" i="1" s="1"/>
  <c r="AF555" i="1" s="1"/>
  <c r="AA554" i="1"/>
  <c r="AD554" i="1"/>
  <c r="AH554" i="1" l="1"/>
  <c r="AC555" i="1"/>
  <c r="AI554" i="1"/>
  <c r="V555" i="1" s="1"/>
  <c r="AF556" i="1" s="1"/>
  <c r="Z555" i="1"/>
  <c r="X554" i="1"/>
  <c r="U554" i="1"/>
  <c r="W554" i="1"/>
  <c r="AC556" i="1" l="1"/>
  <c r="Z556" i="1"/>
  <c r="X555" i="1"/>
  <c r="W555" i="1"/>
  <c r="AB555" i="1"/>
  <c r="AD555" i="1" s="1"/>
  <c r="U555" i="1"/>
  <c r="Y555" i="1"/>
  <c r="AE555" i="1"/>
  <c r="AG555" i="1" s="1"/>
  <c r="AA555" i="1" l="1"/>
  <c r="AE556" i="1"/>
  <c r="AG556" i="1" s="1"/>
  <c r="Y556" i="1"/>
  <c r="AB556" i="1"/>
  <c r="AD556" i="1" s="1"/>
  <c r="AH555" i="1" l="1"/>
  <c r="AI555" i="1"/>
  <c r="AA556" i="1"/>
  <c r="AH556" i="1" l="1"/>
  <c r="AI556" i="1"/>
  <c r="V556" i="1"/>
  <c r="AF557" i="1" s="1"/>
  <c r="X556" i="1"/>
  <c r="U556" i="1"/>
  <c r="W556" i="1"/>
  <c r="X557" i="1" l="1"/>
  <c r="W557" i="1"/>
  <c r="AC557" i="1"/>
  <c r="Z557" i="1"/>
  <c r="V557" i="1"/>
  <c r="AF558" i="1" s="1"/>
  <c r="Y557" i="1"/>
  <c r="AB557" i="1"/>
  <c r="AD557" i="1" s="1"/>
  <c r="AE557" i="1"/>
  <c r="AG557" i="1" s="1"/>
  <c r="U557" i="1"/>
  <c r="AE558" i="1" l="1"/>
  <c r="AB558" i="1"/>
  <c r="Y558" i="1"/>
  <c r="AA557" i="1"/>
  <c r="Z558" i="1"/>
  <c r="AC558" i="1"/>
  <c r="AG558" i="1" l="1"/>
  <c r="AI557" i="1"/>
  <c r="X558" i="1" s="1"/>
  <c r="AH557" i="1"/>
  <c r="AA558" i="1"/>
  <c r="AD558" i="1"/>
  <c r="AH558" i="1" l="1"/>
  <c r="V558" i="1"/>
  <c r="AF559" i="1" s="1"/>
  <c r="AI558" i="1"/>
  <c r="X559" i="1" s="1"/>
  <c r="AC559" i="1"/>
  <c r="W558" i="1"/>
  <c r="U558" i="1"/>
  <c r="Z559" i="1" l="1"/>
  <c r="V559" i="1"/>
  <c r="AF560" i="1" s="1"/>
  <c r="AE559" i="1"/>
  <c r="AG559" i="1" s="1"/>
  <c r="AB559" i="1"/>
  <c r="AD559" i="1" s="1"/>
  <c r="Y559" i="1"/>
  <c r="U559" i="1"/>
  <c r="W559" i="1"/>
  <c r="AE560" i="1" l="1"/>
  <c r="Y560" i="1"/>
  <c r="AB560" i="1"/>
  <c r="AA559" i="1"/>
  <c r="AC560" i="1"/>
  <c r="Z560" i="1"/>
  <c r="AD560" i="1" l="1"/>
  <c r="AG560" i="1"/>
  <c r="AH559" i="1"/>
  <c r="AI559" i="1"/>
  <c r="AA560" i="1"/>
  <c r="AI560" i="1" s="1"/>
  <c r="AH560" i="1" l="1"/>
  <c r="V560" i="1"/>
  <c r="AF561" i="1" s="1"/>
  <c r="X560" i="1"/>
  <c r="U560" i="1"/>
  <c r="W560" i="1"/>
  <c r="AE561" i="1" l="1"/>
  <c r="U561" i="1"/>
  <c r="AB561" i="1"/>
  <c r="Y561" i="1"/>
  <c r="W561" i="1"/>
  <c r="V561" i="1"/>
  <c r="AF562" i="1" s="1"/>
  <c r="X561" i="1"/>
  <c r="AC561" i="1"/>
  <c r="Z561" i="1"/>
  <c r="AG561" i="1" l="1"/>
  <c r="AC562" i="1"/>
  <c r="Z562" i="1"/>
  <c r="AA561" i="1"/>
  <c r="AD561" i="1"/>
  <c r="AE562" i="1"/>
  <c r="AG562" i="1" s="1"/>
  <c r="Y562" i="1"/>
  <c r="AB562" i="1"/>
  <c r="AH561" i="1" l="1"/>
  <c r="AI561" i="1"/>
  <c r="AD562" i="1"/>
  <c r="AA562" i="1"/>
  <c r="AH562" i="1" s="1"/>
  <c r="AI562" i="1" l="1"/>
  <c r="U562" i="1"/>
  <c r="W562" i="1"/>
  <c r="V562" i="1"/>
  <c r="AF563" i="1" s="1"/>
  <c r="X562" i="1"/>
  <c r="Z563" i="1" l="1"/>
  <c r="AC563" i="1"/>
  <c r="V563" i="1"/>
  <c r="AF564" i="1" s="1"/>
  <c r="X563" i="1"/>
  <c r="W563" i="1"/>
  <c r="AB563" i="1"/>
  <c r="Y563" i="1"/>
  <c r="AE563" i="1"/>
  <c r="AG563" i="1" s="1"/>
  <c r="U563" i="1"/>
  <c r="AE564" i="1" l="1"/>
  <c r="Y564" i="1"/>
  <c r="AB564" i="1"/>
  <c r="Z564" i="1"/>
  <c r="AC564" i="1"/>
  <c r="AD563" i="1"/>
  <c r="AA563" i="1"/>
  <c r="AH563" i="1" l="1"/>
  <c r="AG564" i="1"/>
  <c r="AI563" i="1"/>
  <c r="AD564" i="1"/>
  <c r="AA564" i="1"/>
  <c r="AH564" i="1" l="1"/>
  <c r="AI564" i="1"/>
  <c r="V564" i="1"/>
  <c r="AF565" i="1" s="1"/>
  <c r="X564" i="1"/>
  <c r="U564" i="1"/>
  <c r="W564" i="1"/>
  <c r="X565" i="1" l="1"/>
  <c r="W565" i="1"/>
  <c r="AE565" i="1"/>
  <c r="AB565" i="1"/>
  <c r="Y565" i="1"/>
  <c r="U565" i="1"/>
  <c r="AC565" i="1"/>
  <c r="Z565" i="1"/>
  <c r="V565" i="1"/>
  <c r="AF566" i="1" s="1"/>
  <c r="AG565" i="1" l="1"/>
  <c r="AC566" i="1"/>
  <c r="Z566" i="1"/>
  <c r="AD565" i="1"/>
  <c r="AE566" i="1"/>
  <c r="AG566" i="1" s="1"/>
  <c r="Y566" i="1"/>
  <c r="AB566" i="1"/>
  <c r="AD566" i="1" s="1"/>
  <c r="AA565" i="1"/>
  <c r="AH565" i="1" s="1"/>
  <c r="AI565" i="1" l="1"/>
  <c r="AA566" i="1"/>
  <c r="AH566" i="1" s="1"/>
  <c r="AI566" i="1" l="1"/>
  <c r="V566" i="1"/>
  <c r="AF567" i="1" s="1"/>
  <c r="X566" i="1"/>
  <c r="W566" i="1"/>
  <c r="U566" i="1"/>
  <c r="W567" i="1" l="1"/>
  <c r="V567" i="1"/>
  <c r="AF568" i="1" s="1"/>
  <c r="X567" i="1"/>
  <c r="AB567" i="1"/>
  <c r="AE567" i="1"/>
  <c r="Y567" i="1"/>
  <c r="U567" i="1"/>
  <c r="AC567" i="1"/>
  <c r="Z567" i="1"/>
  <c r="AG567" i="1" l="1"/>
  <c r="AD567" i="1"/>
  <c r="AA567" i="1"/>
  <c r="AC568" i="1"/>
  <c r="Z568" i="1"/>
  <c r="AE568" i="1"/>
  <c r="AG568" i="1" s="1"/>
  <c r="Y568" i="1"/>
  <c r="AB568" i="1"/>
  <c r="AH567" i="1" l="1"/>
  <c r="AI567" i="1"/>
  <c r="AA568" i="1"/>
  <c r="AD568" i="1"/>
  <c r="AH568" i="1" l="1"/>
  <c r="AI568" i="1"/>
  <c r="V568" i="1"/>
  <c r="AF569" i="1" s="1"/>
  <c r="X568" i="1"/>
  <c r="U568" i="1"/>
  <c r="W568" i="1"/>
  <c r="AE569" i="1" l="1"/>
  <c r="Y569" i="1"/>
  <c r="U569" i="1"/>
  <c r="AB569" i="1"/>
  <c r="W569" i="1"/>
  <c r="V569" i="1"/>
  <c r="AF570" i="1" s="1"/>
  <c r="X569" i="1"/>
  <c r="AC569" i="1"/>
  <c r="AD569" i="1" s="1"/>
  <c r="Z569" i="1"/>
  <c r="AG569" i="1" l="1"/>
  <c r="Y570" i="1"/>
  <c r="AB570" i="1"/>
  <c r="AE570" i="1"/>
  <c r="Z570" i="1"/>
  <c r="AC570" i="1"/>
  <c r="AA569" i="1"/>
  <c r="AH569" i="1" s="1"/>
  <c r="AG570" i="1" l="1"/>
  <c r="AI569" i="1"/>
  <c r="AD570" i="1"/>
  <c r="AA570" i="1"/>
  <c r="AH570" i="1" s="1"/>
  <c r="AI570" i="1" l="1"/>
  <c r="V570" i="1"/>
  <c r="AF571" i="1" s="1"/>
  <c r="X570" i="1"/>
  <c r="W570" i="1"/>
  <c r="U570" i="1"/>
  <c r="AB571" i="1" l="1"/>
  <c r="Y571" i="1"/>
  <c r="AE571" i="1"/>
  <c r="U571" i="1"/>
  <c r="V571" i="1"/>
  <c r="AF572" i="1" s="1"/>
  <c r="X571" i="1"/>
  <c r="W571" i="1"/>
  <c r="Z571" i="1"/>
  <c r="AC571" i="1"/>
  <c r="AD571" i="1" s="1"/>
  <c r="AG571" i="1" l="1"/>
  <c r="AE572" i="1"/>
  <c r="AB572" i="1"/>
  <c r="Y572" i="1"/>
  <c r="AA571" i="1"/>
  <c r="AH571" i="1" s="1"/>
  <c r="AC572" i="1"/>
  <c r="Z572" i="1"/>
  <c r="AG572" i="1" l="1"/>
  <c r="AI571" i="1"/>
  <c r="AA572" i="1"/>
  <c r="AD572" i="1"/>
  <c r="AH572" i="1" l="1"/>
  <c r="AI572" i="1"/>
  <c r="V572" i="1"/>
  <c r="AF573" i="1" s="1"/>
  <c r="X572" i="1"/>
  <c r="W572" i="1"/>
  <c r="U572" i="1"/>
  <c r="W573" i="1" l="1"/>
  <c r="V573" i="1"/>
  <c r="AF574" i="1" s="1"/>
  <c r="X573" i="1"/>
  <c r="Y573" i="1"/>
  <c r="AE573" i="1"/>
  <c r="U573" i="1"/>
  <c r="AB573" i="1"/>
  <c r="Z573" i="1"/>
  <c r="AC573" i="1"/>
  <c r="AD573" i="1" l="1"/>
  <c r="AG573" i="1"/>
  <c r="AA573" i="1"/>
  <c r="Y574" i="1"/>
  <c r="AB574" i="1"/>
  <c r="AE574" i="1"/>
  <c r="AC574" i="1"/>
  <c r="Z574" i="1"/>
  <c r="AG574" i="1" l="1"/>
  <c r="AI573" i="1"/>
  <c r="V574" i="1" s="1"/>
  <c r="AF575" i="1" s="1"/>
  <c r="AH573" i="1"/>
  <c r="AD574" i="1"/>
  <c r="AA574" i="1"/>
  <c r="AI574" i="1" l="1"/>
  <c r="X575" i="1" s="1"/>
  <c r="Z575" i="1"/>
  <c r="AC575" i="1"/>
  <c r="X574" i="1"/>
  <c r="AH574" i="1"/>
  <c r="W574" i="1"/>
  <c r="U574" i="1"/>
  <c r="V575" i="1" l="1"/>
  <c r="AF576" i="1" s="1"/>
  <c r="AE575" i="1"/>
  <c r="AG575" i="1" s="1"/>
  <c r="AB575" i="1"/>
  <c r="AD575" i="1" s="1"/>
  <c r="Y575" i="1"/>
  <c r="U575" i="1"/>
  <c r="AC576" i="1"/>
  <c r="Z576" i="1"/>
  <c r="W575" i="1"/>
  <c r="AB576" i="1" l="1"/>
  <c r="AD576" i="1" s="1"/>
  <c r="AE576" i="1"/>
  <c r="AG576" i="1" s="1"/>
  <c r="Y576" i="1"/>
  <c r="AA575" i="1"/>
  <c r="AH575" i="1" l="1"/>
  <c r="AI575" i="1"/>
  <c r="AA576" i="1"/>
  <c r="AH576" i="1" l="1"/>
  <c r="AI576" i="1"/>
  <c r="U576" i="1"/>
  <c r="W576" i="1"/>
  <c r="V576" i="1"/>
  <c r="AF577" i="1" s="1"/>
  <c r="X576" i="1"/>
  <c r="X577" i="1" l="1"/>
  <c r="AC577" i="1"/>
  <c r="Z577" i="1"/>
  <c r="V577" i="1"/>
  <c r="AF578" i="1" s="1"/>
  <c r="W577" i="1"/>
  <c r="Y577" i="1"/>
  <c r="AE577" i="1"/>
  <c r="AG577" i="1" s="1"/>
  <c r="AB577" i="1"/>
  <c r="AD577" i="1" s="1"/>
  <c r="U577" i="1"/>
  <c r="AE578" i="1" l="1"/>
  <c r="Y578" i="1"/>
  <c r="AB578" i="1"/>
  <c r="AA577" i="1"/>
  <c r="AH577" i="1" s="1"/>
  <c r="Z578" i="1"/>
  <c r="AC578" i="1"/>
  <c r="AD578" i="1" s="1"/>
  <c r="AG578" i="1" l="1"/>
  <c r="AI577" i="1"/>
  <c r="AA578" i="1"/>
  <c r="AI578" i="1" s="1"/>
  <c r="AH578" i="1" l="1"/>
  <c r="U578" i="1"/>
  <c r="W578" i="1"/>
  <c r="V578" i="1"/>
  <c r="AF579" i="1" s="1"/>
  <c r="X578" i="1"/>
  <c r="Z579" i="1" l="1"/>
  <c r="AC579" i="1"/>
  <c r="W579" i="1"/>
  <c r="Y579" i="1"/>
  <c r="AE579" i="1"/>
  <c r="AG579" i="1" s="1"/>
  <c r="U579" i="1"/>
  <c r="AB579" i="1"/>
  <c r="V579" i="1"/>
  <c r="AF580" i="1" s="1"/>
  <c r="X579" i="1"/>
  <c r="AC580" i="1" l="1"/>
  <c r="Z580" i="1"/>
  <c r="AD579" i="1"/>
  <c r="AA579" i="1"/>
  <c r="Y580" i="1"/>
  <c r="AB580" i="1"/>
  <c r="AD580" i="1" s="1"/>
  <c r="AE580" i="1"/>
  <c r="AG580" i="1" s="1"/>
  <c r="AI579" i="1" l="1"/>
  <c r="V580" i="1" s="1"/>
  <c r="AF581" i="1" s="1"/>
  <c r="AH579" i="1"/>
  <c r="AA580" i="1"/>
  <c r="AH580" i="1" s="1"/>
  <c r="Z581" i="1" l="1"/>
  <c r="AC581" i="1"/>
  <c r="X580" i="1"/>
  <c r="AI580" i="1"/>
  <c r="X581" i="1" s="1"/>
  <c r="U580" i="1"/>
  <c r="W580" i="1"/>
  <c r="AE581" i="1" l="1"/>
  <c r="AG581" i="1" s="1"/>
  <c r="Y581" i="1"/>
  <c r="U581" i="1"/>
  <c r="AB581" i="1"/>
  <c r="AD581" i="1" s="1"/>
  <c r="W581" i="1"/>
  <c r="V581" i="1"/>
  <c r="AF582" i="1" s="1"/>
  <c r="Z582" i="1" l="1"/>
  <c r="AC582" i="1"/>
  <c r="AE582" i="1"/>
  <c r="AG582" i="1" s="1"/>
  <c r="Y582" i="1"/>
  <c r="AB582" i="1"/>
  <c r="AA581" i="1"/>
  <c r="AH581" i="1" l="1"/>
  <c r="AI581" i="1"/>
  <c r="AA582" i="1"/>
  <c r="AD582" i="1"/>
  <c r="AH582" i="1" l="1"/>
  <c r="AI582" i="1"/>
  <c r="V582" i="1"/>
  <c r="AF583" i="1" s="1"/>
  <c r="X582" i="1"/>
  <c r="U582" i="1"/>
  <c r="W582" i="1"/>
  <c r="X583" i="1" l="1"/>
  <c r="W583" i="1"/>
  <c r="AE583" i="1"/>
  <c r="AB583" i="1"/>
  <c r="Y583" i="1"/>
  <c r="U583" i="1"/>
  <c r="Z583" i="1"/>
  <c r="V583" i="1"/>
  <c r="AF584" i="1" s="1"/>
  <c r="AC583" i="1"/>
  <c r="AG583" i="1" l="1"/>
  <c r="Z584" i="1"/>
  <c r="AC584" i="1"/>
  <c r="AA583" i="1"/>
  <c r="AD583" i="1"/>
  <c r="AE584" i="1"/>
  <c r="AG584" i="1" s="1"/>
  <c r="Y584" i="1"/>
  <c r="AB584" i="1"/>
  <c r="AH583" i="1" l="1"/>
  <c r="AI583" i="1"/>
  <c r="AA584" i="1"/>
  <c r="AD584" i="1"/>
  <c r="AH584" i="1" l="1"/>
  <c r="AI584" i="1"/>
  <c r="W584" i="1"/>
  <c r="U584" i="1"/>
  <c r="V584" i="1"/>
  <c r="AF585" i="1" s="1"/>
  <c r="X584" i="1"/>
  <c r="AC585" i="1" l="1"/>
  <c r="Z585" i="1"/>
  <c r="AE585" i="1"/>
  <c r="AG585" i="1" s="1"/>
  <c r="Y585" i="1"/>
  <c r="U585" i="1"/>
  <c r="AB585" i="1"/>
  <c r="V585" i="1"/>
  <c r="AF586" i="1" s="1"/>
  <c r="X585" i="1"/>
  <c r="W585" i="1"/>
  <c r="Z586" i="1" l="1"/>
  <c r="AC586" i="1"/>
  <c r="Y586" i="1"/>
  <c r="AE586" i="1"/>
  <c r="AG586" i="1" s="1"/>
  <c r="AB586" i="1"/>
  <c r="AA585" i="1"/>
  <c r="AD585" i="1"/>
  <c r="AH585" i="1" l="1"/>
  <c r="AI585" i="1"/>
  <c r="V586" i="1" s="1"/>
  <c r="AF587" i="1" s="1"/>
  <c r="AA586" i="1"/>
  <c r="AD586" i="1"/>
  <c r="AH586" i="1" l="1"/>
  <c r="Z587" i="1"/>
  <c r="AI586" i="1"/>
  <c r="X587" i="1" s="1"/>
  <c r="X586" i="1"/>
  <c r="AC587" i="1"/>
  <c r="W586" i="1"/>
  <c r="U586" i="1"/>
  <c r="V587" i="1" l="1"/>
  <c r="AF588" i="1" s="1"/>
  <c r="AE587" i="1"/>
  <c r="AG587" i="1" s="1"/>
  <c r="AB587" i="1"/>
  <c r="AD587" i="1" s="1"/>
  <c r="Y587" i="1"/>
  <c r="U587" i="1"/>
  <c r="W587" i="1"/>
  <c r="AB588" i="1" l="1"/>
  <c r="AE588" i="1"/>
  <c r="Y588" i="1"/>
  <c r="AA587" i="1"/>
  <c r="Z588" i="1"/>
  <c r="AC588" i="1"/>
  <c r="AD588" i="1" s="1"/>
  <c r="AG588" i="1" l="1"/>
  <c r="AH587" i="1"/>
  <c r="AI587" i="1"/>
  <c r="AA588" i="1"/>
  <c r="AH588" i="1" s="1"/>
  <c r="AI588" i="1" l="1"/>
  <c r="U588" i="1"/>
  <c r="W588" i="1"/>
  <c r="X588" i="1"/>
  <c r="V588" i="1"/>
  <c r="AF589" i="1" s="1"/>
  <c r="X589" i="1" l="1"/>
  <c r="Z589" i="1"/>
  <c r="AC589" i="1"/>
  <c r="V589" i="1"/>
  <c r="AF590" i="1" s="1"/>
  <c r="W589" i="1"/>
  <c r="AB589" i="1"/>
  <c r="AE589" i="1"/>
  <c r="AG589" i="1" s="1"/>
  <c r="Y589" i="1"/>
  <c r="U589" i="1"/>
  <c r="AA589" i="1" l="1"/>
  <c r="AC590" i="1"/>
  <c r="Z590" i="1"/>
  <c r="AE590" i="1"/>
  <c r="AG590" i="1" s="1"/>
  <c r="AB590" i="1"/>
  <c r="Y590" i="1"/>
  <c r="AD589" i="1"/>
  <c r="AH589" i="1" l="1"/>
  <c r="AI589" i="1"/>
  <c r="X590" i="1" s="1"/>
  <c r="AA590" i="1"/>
  <c r="AD590" i="1"/>
  <c r="AH590" i="1" l="1"/>
  <c r="AI590" i="1"/>
  <c r="X591" i="1" s="1"/>
  <c r="V590" i="1"/>
  <c r="AF591" i="1" s="1"/>
  <c r="U590" i="1"/>
  <c r="W590" i="1"/>
  <c r="Z591" i="1"/>
  <c r="AC591" i="1"/>
  <c r="V591" i="1" l="1"/>
  <c r="AF592" i="1" s="1"/>
  <c r="W591" i="1"/>
  <c r="Y591" i="1"/>
  <c r="AB591" i="1"/>
  <c r="AD591" i="1" s="1"/>
  <c r="U591" i="1"/>
  <c r="AE591" i="1"/>
  <c r="AG591" i="1" s="1"/>
  <c r="Y592" i="1" l="1"/>
  <c r="AB592" i="1"/>
  <c r="AE592" i="1"/>
  <c r="AA591" i="1"/>
  <c r="AC592" i="1"/>
  <c r="Z592" i="1"/>
  <c r="AG592" i="1" l="1"/>
  <c r="AH591" i="1"/>
  <c r="U592" i="1" s="1"/>
  <c r="AI591" i="1"/>
  <c r="AD592" i="1"/>
  <c r="AA592" i="1"/>
  <c r="AH592" i="1" s="1"/>
  <c r="W592" i="1" l="1"/>
  <c r="AI592" i="1"/>
  <c r="X592" i="1"/>
  <c r="V592" i="1"/>
  <c r="AF593" i="1" s="1"/>
  <c r="W593" i="1"/>
  <c r="AE593" i="1"/>
  <c r="AB593" i="1"/>
  <c r="Y593" i="1"/>
  <c r="X593" i="1" l="1"/>
  <c r="U593" i="1"/>
  <c r="Z593" i="1"/>
  <c r="AC593" i="1"/>
  <c r="AG593" i="1"/>
  <c r="V593" i="1"/>
  <c r="AF594" i="1" s="1"/>
  <c r="AD593" i="1"/>
  <c r="AC594" i="1" l="1"/>
  <c r="Z594" i="1"/>
  <c r="Y594" i="1"/>
  <c r="AE594" i="1"/>
  <c r="AG594" i="1" s="1"/>
  <c r="AB594" i="1"/>
  <c r="AA593" i="1"/>
  <c r="AH593" i="1" s="1"/>
  <c r="AI593" i="1" l="1"/>
  <c r="AA594" i="1"/>
  <c r="AD594" i="1"/>
  <c r="AH594" i="1" l="1"/>
  <c r="AI594" i="1"/>
  <c r="X594" i="1"/>
  <c r="V594" i="1"/>
  <c r="AF595" i="1" s="1"/>
  <c r="W594" i="1"/>
  <c r="U594" i="1"/>
  <c r="W595" i="1" l="1"/>
  <c r="U595" i="1"/>
  <c r="AE595" i="1"/>
  <c r="Y595" i="1"/>
  <c r="AB595" i="1"/>
  <c r="Z595" i="1"/>
  <c r="AC595" i="1"/>
  <c r="V595" i="1"/>
  <c r="AF596" i="1" s="1"/>
  <c r="X595" i="1"/>
  <c r="AG595" i="1" l="1"/>
  <c r="AD595" i="1"/>
  <c r="AC596" i="1"/>
  <c r="Z596" i="1"/>
  <c r="AB596" i="1"/>
  <c r="AD596" i="1" s="1"/>
  <c r="AE596" i="1"/>
  <c r="AG596" i="1" s="1"/>
  <c r="Y596" i="1"/>
  <c r="AA595" i="1"/>
  <c r="AH595" i="1" s="1"/>
  <c r="AI595" i="1" l="1"/>
  <c r="X596" i="1" s="1"/>
  <c r="AA596" i="1"/>
  <c r="AH596" i="1" s="1"/>
  <c r="AI596" i="1" l="1"/>
  <c r="V596" i="1"/>
  <c r="AF597" i="1" s="1"/>
  <c r="W596" i="1"/>
  <c r="U596" i="1"/>
  <c r="Z597" i="1" l="1"/>
  <c r="V597" i="1"/>
  <c r="AF598" i="1" s="1"/>
  <c r="AC597" i="1"/>
  <c r="X597" i="1"/>
  <c r="AE597" i="1"/>
  <c r="AG597" i="1" s="1"/>
  <c r="AB597" i="1"/>
  <c r="AD597" i="1" s="1"/>
  <c r="Y597" i="1"/>
  <c r="U597" i="1"/>
  <c r="W597" i="1"/>
  <c r="AC598" i="1" l="1"/>
  <c r="Z598" i="1"/>
  <c r="Y598" i="1"/>
  <c r="AB598" i="1"/>
  <c r="AD598" i="1" s="1"/>
  <c r="AE598" i="1"/>
  <c r="AG598" i="1" s="1"/>
  <c r="AA597" i="1"/>
  <c r="AH597" i="1" l="1"/>
  <c r="AI597" i="1"/>
  <c r="AA598" i="1"/>
  <c r="AH598" i="1" l="1"/>
  <c r="AI598" i="1"/>
  <c r="X598" i="1"/>
  <c r="V598" i="1"/>
  <c r="AF599" i="1" s="1"/>
  <c r="W598" i="1"/>
  <c r="U598" i="1"/>
  <c r="W599" i="1" l="1"/>
  <c r="Z599" i="1"/>
  <c r="AC599" i="1"/>
  <c r="V599" i="1"/>
  <c r="AF600" i="1" s="1"/>
  <c r="X599" i="1"/>
  <c r="AB599" i="1"/>
  <c r="Y599" i="1"/>
  <c r="AE599" i="1"/>
  <c r="AG599" i="1" s="1"/>
  <c r="U599" i="1"/>
  <c r="Y600" i="1" l="1"/>
  <c r="AE600" i="1"/>
  <c r="AB600" i="1"/>
  <c r="AA599" i="1"/>
  <c r="AC600" i="1"/>
  <c r="AD600" i="1" s="1"/>
  <c r="Z600" i="1"/>
  <c r="AD599" i="1"/>
  <c r="AG600" i="1" l="1"/>
  <c r="AH599" i="1"/>
  <c r="AI599" i="1"/>
  <c r="AA600" i="1"/>
  <c r="AH600" i="1" s="1"/>
  <c r="AI600" i="1" l="1"/>
  <c r="X600" i="1"/>
  <c r="V600" i="1"/>
  <c r="AF601" i="1" s="1"/>
  <c r="W600" i="1"/>
  <c r="U600" i="1"/>
  <c r="V601" i="1" l="1"/>
  <c r="AF602" i="1" s="1"/>
  <c r="AE601" i="1"/>
  <c r="Y601" i="1"/>
  <c r="AB601" i="1"/>
  <c r="U601" i="1"/>
  <c r="AC602" i="1"/>
  <c r="Z602" i="1"/>
  <c r="W601" i="1"/>
  <c r="Z601" i="1"/>
  <c r="AC601" i="1"/>
  <c r="X601" i="1"/>
  <c r="AG601" i="1" l="1"/>
  <c r="AE602" i="1"/>
  <c r="AG602" i="1" s="1"/>
  <c r="Y602" i="1"/>
  <c r="AB602" i="1"/>
  <c r="AD602" i="1" s="1"/>
  <c r="AD601" i="1"/>
  <c r="AA601" i="1"/>
  <c r="AH601" i="1" l="1"/>
  <c r="U602" i="1" s="1"/>
  <c r="Y603" i="1" s="1"/>
  <c r="AI601" i="1"/>
  <c r="AA602" i="1"/>
  <c r="AH602" i="1" l="1"/>
  <c r="AI602" i="1"/>
  <c r="W602" i="1"/>
  <c r="AB603" i="1"/>
  <c r="AE603" i="1"/>
  <c r="V602" i="1"/>
  <c r="AF603" i="1" s="1"/>
  <c r="X602" i="1"/>
  <c r="U603" i="1" l="1"/>
  <c r="AB604" i="1" s="1"/>
  <c r="V603" i="1"/>
  <c r="AF604" i="1" s="1"/>
  <c r="W603" i="1"/>
  <c r="AC604" i="1"/>
  <c r="Z604" i="1"/>
  <c r="X603" i="1"/>
  <c r="AG603" i="1"/>
  <c r="Z603" i="1"/>
  <c r="AC603" i="1"/>
  <c r="AD603" i="1" s="1"/>
  <c r="AE604" i="1" l="1"/>
  <c r="Y604" i="1"/>
  <c r="AG604" i="1"/>
  <c r="AA603" i="1"/>
  <c r="AH603" i="1" s="1"/>
  <c r="AA604" i="1"/>
  <c r="AD604" i="1"/>
  <c r="AH604" i="1" l="1"/>
  <c r="AI604" i="1"/>
  <c r="AI603" i="1"/>
  <c r="V604" i="1" s="1"/>
  <c r="AF605" i="1" s="1"/>
  <c r="W604" i="1"/>
  <c r="U604" i="1"/>
  <c r="W605" i="1" l="1"/>
  <c r="X604" i="1"/>
  <c r="X605" i="1" s="1"/>
  <c r="AB605" i="1"/>
  <c r="AE605" i="1"/>
  <c r="Y605" i="1"/>
  <c r="U605" i="1"/>
  <c r="AC605" i="1"/>
  <c r="AD605" i="1" s="1"/>
  <c r="Z605" i="1"/>
  <c r="V605" i="1" l="1"/>
  <c r="AF606" i="1" s="1"/>
  <c r="AG605" i="1"/>
  <c r="AB606" i="1"/>
  <c r="Y606" i="1"/>
  <c r="AE606" i="1"/>
  <c r="AA605" i="1"/>
  <c r="AI605" i="1" s="1"/>
  <c r="Z606" i="1" l="1"/>
  <c r="AG606" i="1"/>
  <c r="AC606" i="1"/>
  <c r="AD606" i="1" s="1"/>
  <c r="AH605" i="1"/>
  <c r="X606" i="1"/>
  <c r="V606" i="1"/>
  <c r="AF607" i="1" s="1"/>
  <c r="AA606" i="1"/>
  <c r="AH606" i="1" l="1"/>
  <c r="AI606" i="1"/>
  <c r="X607" i="1" s="1"/>
  <c r="Z607" i="1"/>
  <c r="AC607" i="1"/>
  <c r="W606" i="1"/>
  <c r="U606" i="1"/>
  <c r="W607" i="1" l="1"/>
  <c r="Y607" i="1"/>
  <c r="AB607" i="1"/>
  <c r="AD607" i="1" s="1"/>
  <c r="AE607" i="1"/>
  <c r="AG607" i="1" s="1"/>
  <c r="U607" i="1"/>
  <c r="V607" i="1"/>
  <c r="AF608" i="1" s="1"/>
  <c r="AC608" i="1" l="1"/>
  <c r="Z608" i="1"/>
  <c r="AE608" i="1"/>
  <c r="AG608" i="1" s="1"/>
  <c r="Y608" i="1"/>
  <c r="AB608" i="1"/>
  <c r="AA607" i="1"/>
  <c r="AH607" i="1" l="1"/>
  <c r="AI607" i="1"/>
  <c r="AA608" i="1"/>
  <c r="AD608" i="1"/>
  <c r="AH608" i="1" l="1"/>
  <c r="AI608" i="1"/>
  <c r="W608" i="1"/>
  <c r="U608" i="1"/>
  <c r="X608" i="1"/>
  <c r="V608" i="1"/>
  <c r="AF609" i="1" s="1"/>
  <c r="AC609" i="1" l="1"/>
  <c r="Z609" i="1"/>
  <c r="V609" i="1"/>
  <c r="AF610" i="1" s="1"/>
  <c r="X609" i="1"/>
  <c r="AE609" i="1"/>
  <c r="AG609" i="1" s="1"/>
  <c r="AB609" i="1"/>
  <c r="AD609" i="1" s="1"/>
  <c r="Y609" i="1"/>
  <c r="U609" i="1"/>
  <c r="W609" i="1"/>
  <c r="AC610" i="1" l="1"/>
  <c r="Z610" i="1"/>
  <c r="AB610" i="1"/>
  <c r="AD610" i="1" s="1"/>
  <c r="AE610" i="1"/>
  <c r="AG610" i="1" s="1"/>
  <c r="Y610" i="1"/>
  <c r="AA609" i="1"/>
  <c r="AH609" i="1" s="1"/>
  <c r="AI609" i="1" l="1"/>
  <c r="AA610" i="1"/>
  <c r="AH610" i="1" s="1"/>
  <c r="AI610" i="1" l="1"/>
  <c r="V610" i="1"/>
  <c r="AF611" i="1" s="1"/>
  <c r="X610" i="1"/>
  <c r="W610" i="1"/>
  <c r="U610" i="1"/>
  <c r="V611" i="1" l="1"/>
  <c r="AF612" i="1" s="1"/>
  <c r="W611" i="1"/>
  <c r="Y611" i="1"/>
  <c r="AE611" i="1"/>
  <c r="AB611" i="1"/>
  <c r="U611" i="1"/>
  <c r="X611" i="1"/>
  <c r="Z612" i="1"/>
  <c r="AC612" i="1"/>
  <c r="AC611" i="1"/>
  <c r="Z611" i="1"/>
  <c r="AD611" i="1" l="1"/>
  <c r="AG611" i="1"/>
  <c r="AA611" i="1"/>
  <c r="AI611" i="1" s="1"/>
  <c r="AE612" i="1"/>
  <c r="AG612" i="1" s="1"/>
  <c r="Y612" i="1"/>
  <c r="AB612" i="1"/>
  <c r="AD612" i="1" s="1"/>
  <c r="AH611" i="1" l="1"/>
  <c r="V612" i="1"/>
  <c r="AF613" i="1" s="1"/>
  <c r="X612" i="1"/>
  <c r="AA612" i="1"/>
  <c r="AH612" i="1" l="1"/>
  <c r="AI612" i="1"/>
  <c r="X613" i="1" s="1"/>
  <c r="W612" i="1"/>
  <c r="U612" i="1"/>
  <c r="Z613" i="1"/>
  <c r="AC613" i="1"/>
  <c r="W613" i="1" l="1"/>
  <c r="V613" i="1"/>
  <c r="AF614" i="1" s="1"/>
  <c r="AE613" i="1"/>
  <c r="AG613" i="1" s="1"/>
  <c r="AB613" i="1"/>
  <c r="AD613" i="1" s="1"/>
  <c r="Y613" i="1"/>
  <c r="U613" i="1"/>
  <c r="Z614" i="1" l="1"/>
  <c r="AC614" i="1"/>
  <c r="AA613" i="1"/>
  <c r="Y614" i="1"/>
  <c r="AE614" i="1"/>
  <c r="AG614" i="1" s="1"/>
  <c r="AB614" i="1"/>
  <c r="AD614" i="1" s="1"/>
  <c r="AH613" i="1" l="1"/>
  <c r="AI613" i="1"/>
  <c r="AA614" i="1"/>
  <c r="AH614" i="1" l="1"/>
  <c r="AI614" i="1"/>
  <c r="W614" i="1"/>
  <c r="U614" i="1"/>
  <c r="X614" i="1"/>
  <c r="V614" i="1"/>
  <c r="AF615" i="1" s="1"/>
  <c r="Z615" i="1" l="1"/>
  <c r="AC615" i="1"/>
  <c r="AE615" i="1"/>
  <c r="AG615" i="1" s="1"/>
  <c r="Y615" i="1"/>
  <c r="AB615" i="1"/>
  <c r="U615" i="1"/>
  <c r="X615" i="1"/>
  <c r="W615" i="1"/>
  <c r="V615" i="1"/>
  <c r="AF616" i="1" s="1"/>
  <c r="AE616" i="1" l="1"/>
  <c r="Y616" i="1"/>
  <c r="AB616" i="1"/>
  <c r="AD615" i="1"/>
  <c r="AC616" i="1"/>
  <c r="Z616" i="1"/>
  <c r="AA615" i="1"/>
  <c r="AH615" i="1" s="1"/>
  <c r="AG616" i="1" l="1"/>
  <c r="AI615" i="1"/>
  <c r="V616" i="1" s="1"/>
  <c r="AF617" i="1" s="1"/>
  <c r="U616" i="1"/>
  <c r="Y617" i="1" s="1"/>
  <c r="AD616" i="1"/>
  <c r="AA616" i="1"/>
  <c r="AH616" i="1" s="1"/>
  <c r="AI616" i="1" l="1"/>
  <c r="W616" i="1"/>
  <c r="U617" i="1" s="1"/>
  <c r="X616" i="1"/>
  <c r="AB617" i="1"/>
  <c r="AE617" i="1"/>
  <c r="AG617" i="1" s="1"/>
  <c r="AC617" i="1"/>
  <c r="AD617" i="1" s="1"/>
  <c r="Z617" i="1"/>
  <c r="X617" i="1" l="1"/>
  <c r="AA617" i="1"/>
  <c r="AH617" i="1" s="1"/>
  <c r="W617" i="1"/>
  <c r="V617" i="1"/>
  <c r="AF618" i="1" s="1"/>
  <c r="AB618" i="1"/>
  <c r="AE618" i="1"/>
  <c r="Y618" i="1"/>
  <c r="W618" i="1" l="1"/>
  <c r="AI617" i="1"/>
  <c r="X618" i="1" s="1"/>
  <c r="U618" i="1"/>
  <c r="AG618" i="1"/>
  <c r="Z618" i="1"/>
  <c r="AC618" i="1"/>
  <c r="AD618" i="1" s="1"/>
  <c r="V618" i="1" l="1"/>
  <c r="AF619" i="1" s="1"/>
  <c r="AA618" i="1"/>
  <c r="AH618" i="1" s="1"/>
  <c r="Y619" i="1"/>
  <c r="AB619" i="1"/>
  <c r="AE619" i="1"/>
  <c r="Z619" i="1" l="1"/>
  <c r="AG619" i="1"/>
  <c r="AC619" i="1"/>
  <c r="AD619" i="1" s="1"/>
  <c r="AI618" i="1"/>
  <c r="AA619" i="1"/>
  <c r="AI619" i="1" l="1"/>
  <c r="AH619" i="1"/>
  <c r="V619" i="1"/>
  <c r="AF620" i="1" s="1"/>
  <c r="X619" i="1"/>
  <c r="W619" i="1"/>
  <c r="U619" i="1"/>
  <c r="U620" i="1" l="1"/>
  <c r="AE620" i="1"/>
  <c r="Y620" i="1"/>
  <c r="AB620" i="1"/>
  <c r="W620" i="1"/>
  <c r="V620" i="1"/>
  <c r="AF621" i="1" s="1"/>
  <c r="X620" i="1"/>
  <c r="Z620" i="1"/>
  <c r="AC620" i="1"/>
  <c r="AG620" i="1" l="1"/>
  <c r="AD620" i="1"/>
  <c r="AA620" i="1"/>
  <c r="AH620" i="1" s="1"/>
  <c r="AC621" i="1"/>
  <c r="Z621" i="1"/>
  <c r="AE621" i="1"/>
  <c r="AG621" i="1" s="1"/>
  <c r="Y621" i="1"/>
  <c r="AB621" i="1"/>
  <c r="AI620" i="1" l="1"/>
  <c r="AD621" i="1"/>
  <c r="AA621" i="1"/>
  <c r="AH621" i="1" s="1"/>
  <c r="AI621" i="1" l="1"/>
  <c r="W621" i="1"/>
  <c r="U621" i="1"/>
  <c r="V621" i="1"/>
  <c r="AF622" i="1" s="1"/>
  <c r="X621" i="1"/>
  <c r="V622" i="1" l="1"/>
  <c r="AF623" i="1" s="1"/>
  <c r="AC622" i="1"/>
  <c r="Z622" i="1"/>
  <c r="U622" i="1"/>
  <c r="Y622" i="1"/>
  <c r="AB622" i="1"/>
  <c r="AD622" i="1" s="1"/>
  <c r="AE622" i="1"/>
  <c r="AG622" i="1" s="1"/>
  <c r="X622" i="1"/>
  <c r="W622" i="1"/>
  <c r="Y623" i="1" l="1"/>
  <c r="AE623" i="1"/>
  <c r="AB623" i="1"/>
  <c r="AA622" i="1"/>
  <c r="AH622" i="1" s="1"/>
  <c r="Z623" i="1"/>
  <c r="AC623" i="1"/>
  <c r="AG623" i="1" l="1"/>
  <c r="AI622" i="1"/>
  <c r="AD623" i="1"/>
  <c r="AA623" i="1"/>
  <c r="AH623" i="1" s="1"/>
  <c r="AI623" i="1" l="1"/>
  <c r="W623" i="1"/>
  <c r="U623" i="1"/>
  <c r="V623" i="1"/>
  <c r="AF624" i="1" s="1"/>
  <c r="X623" i="1"/>
  <c r="Z624" i="1" l="1"/>
  <c r="V624" i="1"/>
  <c r="AF625" i="1" s="1"/>
  <c r="AC624" i="1"/>
  <c r="X624" i="1"/>
  <c r="AE624" i="1"/>
  <c r="AG624" i="1" s="1"/>
  <c r="Y624" i="1"/>
  <c r="AB624" i="1"/>
  <c r="U624" i="1"/>
  <c r="W624" i="1"/>
  <c r="AD624" i="1" l="1"/>
  <c r="Y625" i="1"/>
  <c r="AE625" i="1"/>
  <c r="AB625" i="1"/>
  <c r="AC625" i="1"/>
  <c r="Z625" i="1"/>
  <c r="AA624" i="1"/>
  <c r="AH624" i="1" s="1"/>
  <c r="AG625" i="1" l="1"/>
  <c r="AI624" i="1"/>
  <c r="X625" i="1" s="1"/>
  <c r="AD625" i="1"/>
  <c r="AA625" i="1"/>
  <c r="AI625" i="1" l="1"/>
  <c r="X626" i="1" s="1"/>
  <c r="AH625" i="1"/>
  <c r="V625" i="1"/>
  <c r="AF626" i="1" s="1"/>
  <c r="W625" i="1"/>
  <c r="U625" i="1"/>
  <c r="V626" i="1" l="1"/>
  <c r="AF627" i="1" s="1"/>
  <c r="Z626" i="1"/>
  <c r="AC626" i="1"/>
  <c r="W626" i="1"/>
  <c r="AC627" i="1"/>
  <c r="Z627" i="1"/>
  <c r="AB626" i="1"/>
  <c r="AD626" i="1" s="1"/>
  <c r="Y626" i="1"/>
  <c r="U626" i="1"/>
  <c r="AE626" i="1"/>
  <c r="AG626" i="1" s="1"/>
  <c r="AA626" i="1" l="1"/>
  <c r="AH626" i="1" s="1"/>
  <c r="Y627" i="1"/>
  <c r="AE627" i="1"/>
  <c r="AG627" i="1" s="1"/>
  <c r="AB627" i="1"/>
  <c r="AD627" i="1" s="1"/>
  <c r="AI626" i="1" l="1"/>
  <c r="AA627" i="1"/>
  <c r="AH627" i="1" l="1"/>
  <c r="AI627" i="1"/>
  <c r="W627" i="1"/>
  <c r="U627" i="1"/>
  <c r="X627" i="1"/>
  <c r="V627" i="1"/>
  <c r="AF628" i="1" s="1"/>
  <c r="X628" i="1" l="1"/>
  <c r="Y628" i="1"/>
  <c r="U628" i="1"/>
  <c r="AB628" i="1"/>
  <c r="AE628" i="1"/>
  <c r="AC628" i="1"/>
  <c r="V628" i="1"/>
  <c r="AF629" i="1" s="1"/>
  <c r="Z628" i="1"/>
  <c r="W628" i="1"/>
  <c r="AG628" i="1" l="1"/>
  <c r="AD628" i="1"/>
  <c r="Z629" i="1"/>
  <c r="AC629" i="1"/>
  <c r="Y629" i="1"/>
  <c r="AE629" i="1"/>
  <c r="AG629" i="1" s="1"/>
  <c r="AB629" i="1"/>
  <c r="AA628" i="1"/>
  <c r="AH628" i="1" s="1"/>
  <c r="AI628" i="1" l="1"/>
  <c r="AD629" i="1"/>
  <c r="AA629" i="1"/>
  <c r="AH629" i="1" s="1"/>
  <c r="AI629" i="1" l="1"/>
  <c r="W629" i="1"/>
  <c r="U629" i="1"/>
  <c r="X629" i="1"/>
  <c r="V629" i="1"/>
  <c r="AF630" i="1" s="1"/>
  <c r="X630" i="1" l="1"/>
  <c r="AC630" i="1"/>
  <c r="Z630" i="1"/>
  <c r="V630" i="1"/>
  <c r="AF631" i="1" s="1"/>
  <c r="U630" i="1"/>
  <c r="AE630" i="1"/>
  <c r="AG630" i="1" s="1"/>
  <c r="Y630" i="1"/>
  <c r="AB630" i="1"/>
  <c r="AD630" i="1" s="1"/>
  <c r="W630" i="1"/>
  <c r="Z631" i="1" l="1"/>
  <c r="AC631" i="1"/>
  <c r="AA630" i="1"/>
  <c r="AH630" i="1" s="1"/>
  <c r="AE631" i="1"/>
  <c r="AG631" i="1" s="1"/>
  <c r="Y631" i="1"/>
  <c r="AB631" i="1"/>
  <c r="AD631" i="1" s="1"/>
  <c r="AI630" i="1" l="1"/>
  <c r="AA631" i="1"/>
  <c r="AI631" i="1" s="1"/>
  <c r="AH631" i="1" l="1"/>
  <c r="V631" i="1"/>
  <c r="AF632" i="1" s="1"/>
  <c r="X631" i="1"/>
  <c r="W631" i="1"/>
  <c r="U631" i="1"/>
  <c r="U632" i="1" l="1"/>
  <c r="AE632" i="1"/>
  <c r="Y632" i="1"/>
  <c r="AB632" i="1"/>
  <c r="W632" i="1"/>
  <c r="V632" i="1"/>
  <c r="AF633" i="1" s="1"/>
  <c r="X632" i="1"/>
  <c r="Z632" i="1"/>
  <c r="AC632" i="1"/>
  <c r="AG632" i="1" l="1"/>
  <c r="AD632" i="1"/>
  <c r="AC633" i="1"/>
  <c r="Z633" i="1"/>
  <c r="AA632" i="1"/>
  <c r="AH632" i="1" s="1"/>
  <c r="AB633" i="1"/>
  <c r="AD633" i="1" s="1"/>
  <c r="AE633" i="1"/>
  <c r="AG633" i="1" s="1"/>
  <c r="Y633" i="1"/>
  <c r="AI632" i="1" l="1"/>
  <c r="AA633" i="1"/>
  <c r="AI633" i="1" s="1"/>
  <c r="AH633" i="1" l="1"/>
  <c r="V633" i="1"/>
  <c r="AF634" i="1" s="1"/>
  <c r="X633" i="1"/>
  <c r="W633" i="1"/>
  <c r="U633" i="1"/>
  <c r="AB634" i="1" l="1"/>
  <c r="Y634" i="1"/>
  <c r="AE634" i="1"/>
  <c r="U634" i="1"/>
  <c r="W634" i="1"/>
  <c r="V634" i="1"/>
  <c r="AF635" i="1" s="1"/>
  <c r="X634" i="1"/>
  <c r="Z634" i="1"/>
  <c r="AC634" i="1"/>
  <c r="AD634" i="1" s="1"/>
  <c r="AG634" i="1" l="1"/>
  <c r="Z635" i="1"/>
  <c r="AC635" i="1"/>
  <c r="AA634" i="1"/>
  <c r="AH634" i="1" s="1"/>
  <c r="Y635" i="1"/>
  <c r="AE635" i="1"/>
  <c r="AG635" i="1" s="1"/>
  <c r="AB635" i="1"/>
  <c r="AD635" i="1" s="1"/>
  <c r="AI634" i="1" l="1"/>
  <c r="AA635" i="1"/>
  <c r="AH635" i="1" s="1"/>
  <c r="AI635" i="1" l="1"/>
  <c r="W635" i="1"/>
  <c r="U635" i="1"/>
  <c r="V635" i="1"/>
  <c r="AF636" i="1" s="1"/>
  <c r="X635" i="1"/>
  <c r="X636" i="1" l="1"/>
  <c r="AC636" i="1"/>
  <c r="Z636" i="1"/>
  <c r="V636" i="1"/>
  <c r="AF637" i="1" s="1"/>
  <c r="W636" i="1"/>
  <c r="AE636" i="1"/>
  <c r="AG636" i="1" s="1"/>
  <c r="Y636" i="1"/>
  <c r="AB636" i="1"/>
  <c r="U636" i="1"/>
  <c r="AC637" i="1" l="1"/>
  <c r="Z637" i="1"/>
  <c r="AE637" i="1"/>
  <c r="AG637" i="1" s="1"/>
  <c r="AB637" i="1"/>
  <c r="Y637" i="1"/>
  <c r="AA636" i="1"/>
  <c r="AD636" i="1"/>
  <c r="AH636" i="1" l="1"/>
  <c r="AI636" i="1"/>
  <c r="X637" i="1" s="1"/>
  <c r="AA637" i="1"/>
  <c r="AD637" i="1"/>
  <c r="AH637" i="1" l="1"/>
  <c r="AI637" i="1"/>
  <c r="X638" i="1" s="1"/>
  <c r="V637" i="1"/>
  <c r="AF638" i="1" s="1"/>
  <c r="W637" i="1"/>
  <c r="U637" i="1"/>
  <c r="V638" i="1" l="1"/>
  <c r="AF639" i="1" s="1"/>
  <c r="W638" i="1"/>
  <c r="Z638" i="1"/>
  <c r="AC638" i="1"/>
  <c r="Y638" i="1"/>
  <c r="AE638" i="1"/>
  <c r="AG638" i="1" s="1"/>
  <c r="AB638" i="1"/>
  <c r="AD638" i="1" s="1"/>
  <c r="U638" i="1"/>
  <c r="AC639" i="1"/>
  <c r="Z639" i="1"/>
  <c r="AB639" i="1" l="1"/>
  <c r="AD639" i="1" s="1"/>
  <c r="Y639" i="1"/>
  <c r="AE639" i="1"/>
  <c r="AG639" i="1" s="1"/>
  <c r="AA638" i="1"/>
  <c r="AH638" i="1" s="1"/>
  <c r="AI638" i="1" l="1"/>
  <c r="W639" i="1"/>
  <c r="U639" i="1"/>
  <c r="AA639" i="1"/>
  <c r="AH639" i="1" l="1"/>
  <c r="U640" i="1" s="1"/>
  <c r="AI639" i="1"/>
  <c r="V639" i="1"/>
  <c r="AF640" i="1" s="1"/>
  <c r="X639" i="1"/>
  <c r="Y640" i="1"/>
  <c r="AB640" i="1"/>
  <c r="AE640" i="1"/>
  <c r="X640" i="1" l="1"/>
  <c r="Y641" i="1"/>
  <c r="AB641" i="1"/>
  <c r="AE641" i="1"/>
  <c r="W640" i="1"/>
  <c r="AC640" i="1"/>
  <c r="AD640" i="1" s="1"/>
  <c r="Z640" i="1"/>
  <c r="AG640" i="1"/>
  <c r="V640" i="1"/>
  <c r="AF641" i="1" s="1"/>
  <c r="AA640" i="1" l="1"/>
  <c r="AI640" i="1" s="1"/>
  <c r="AC641" i="1"/>
  <c r="AD641" i="1" s="1"/>
  <c r="AG641" i="1"/>
  <c r="Z641" i="1"/>
  <c r="X641" i="1" l="1"/>
  <c r="AH640" i="1"/>
  <c r="AA641" i="1"/>
  <c r="AH641" i="1" s="1"/>
  <c r="AI641" i="1" l="1"/>
  <c r="X642" i="1" s="1"/>
  <c r="V641" i="1"/>
  <c r="AF642" i="1" s="1"/>
  <c r="U641" i="1"/>
  <c r="W641" i="1"/>
  <c r="AC642" i="1" l="1"/>
  <c r="Z642" i="1"/>
  <c r="V642" i="1"/>
  <c r="AF643" i="1" s="1"/>
  <c r="W642" i="1"/>
  <c r="AB642" i="1"/>
  <c r="AD642" i="1" s="1"/>
  <c r="Y642" i="1"/>
  <c r="AE642" i="1"/>
  <c r="AG642" i="1" s="1"/>
  <c r="U642" i="1"/>
  <c r="AC643" i="1" l="1"/>
  <c r="Z643" i="1"/>
  <c r="AB643" i="1"/>
  <c r="AD643" i="1" s="1"/>
  <c r="Y643" i="1"/>
  <c r="AE643" i="1"/>
  <c r="AG643" i="1" s="1"/>
  <c r="AA642" i="1"/>
  <c r="AH642" i="1" l="1"/>
  <c r="AI642" i="1"/>
  <c r="AA643" i="1"/>
  <c r="AH643" i="1" s="1"/>
  <c r="AI643" i="1" l="1"/>
  <c r="U643" i="1"/>
  <c r="W643" i="1"/>
  <c r="X643" i="1"/>
  <c r="V643" i="1"/>
  <c r="AF644" i="1" s="1"/>
  <c r="Z644" i="1" l="1"/>
  <c r="AC644" i="1"/>
  <c r="X644" i="1"/>
  <c r="W644" i="1"/>
  <c r="AB644" i="1"/>
  <c r="AD644" i="1" s="1"/>
  <c r="Y644" i="1"/>
  <c r="AE644" i="1"/>
  <c r="AG644" i="1" s="1"/>
  <c r="U644" i="1"/>
  <c r="V644" i="1"/>
  <c r="AF645" i="1" s="1"/>
  <c r="Y645" i="1" l="1"/>
  <c r="AE645" i="1"/>
  <c r="AB645" i="1"/>
  <c r="Z645" i="1"/>
  <c r="AC645" i="1"/>
  <c r="AA644" i="1"/>
  <c r="AH644" i="1" s="1"/>
  <c r="AD645" i="1" l="1"/>
  <c r="AG645" i="1"/>
  <c r="AI644" i="1"/>
  <c r="AA645" i="1"/>
  <c r="AI645" i="1" s="1"/>
  <c r="AH645" i="1" l="1"/>
  <c r="X645" i="1"/>
  <c r="X646" i="1" s="1"/>
  <c r="V645" i="1"/>
  <c r="AF646" i="1" s="1"/>
  <c r="W645" i="1"/>
  <c r="U645" i="1"/>
  <c r="W646" i="1" l="1"/>
  <c r="Z646" i="1"/>
  <c r="AC646" i="1"/>
  <c r="V646" i="1"/>
  <c r="AF647" i="1" s="1"/>
  <c r="Y646" i="1"/>
  <c r="AE646" i="1"/>
  <c r="AG646" i="1" s="1"/>
  <c r="AB646" i="1"/>
  <c r="U646" i="1"/>
  <c r="Z647" i="1" l="1"/>
  <c r="AC647" i="1"/>
  <c r="AD646" i="1"/>
  <c r="Y647" i="1"/>
  <c r="AB647" i="1"/>
  <c r="AD647" i="1" s="1"/>
  <c r="AE647" i="1"/>
  <c r="AG647" i="1" s="1"/>
  <c r="AA646" i="1"/>
  <c r="AH646" i="1" l="1"/>
  <c r="W647" i="1" s="1"/>
  <c r="AI646" i="1"/>
  <c r="X647" i="1" s="1"/>
  <c r="AA647" i="1"/>
  <c r="AI647" i="1" l="1"/>
  <c r="X648" i="1" s="1"/>
  <c r="AH647" i="1"/>
  <c r="W648" i="1" s="1"/>
  <c r="V647" i="1"/>
  <c r="AF648" i="1" s="1"/>
  <c r="U647" i="1"/>
  <c r="AE648" i="1" s="1"/>
  <c r="Z648" i="1" l="1"/>
  <c r="AG648" i="1"/>
  <c r="V648" i="1"/>
  <c r="AF649" i="1" s="1"/>
  <c r="Y648" i="1"/>
  <c r="AA648" i="1" s="1"/>
  <c r="AB648" i="1"/>
  <c r="AC648" i="1"/>
  <c r="U648" i="1"/>
  <c r="AB649" i="1" s="1"/>
  <c r="Z649" i="1"/>
  <c r="AD648" i="1" l="1"/>
  <c r="AI648" i="1" s="1"/>
  <c r="X649" i="1" s="1"/>
  <c r="AC649" i="1"/>
  <c r="AH648" i="1"/>
  <c r="AE649" i="1"/>
  <c r="AG649" i="1" s="1"/>
  <c r="AD649" i="1"/>
  <c r="Y649" i="1"/>
  <c r="V649" i="1" l="1"/>
  <c r="AF650" i="1" s="1"/>
  <c r="AA649" i="1"/>
  <c r="AC650" i="1"/>
  <c r="U649" i="1"/>
  <c r="W649" i="1"/>
  <c r="Z650" i="1" l="1"/>
  <c r="AH649" i="1"/>
  <c r="U650" i="1" s="1"/>
  <c r="AI649" i="1"/>
  <c r="X650" i="1" s="1"/>
  <c r="Y650" i="1"/>
  <c r="AE650" i="1"/>
  <c r="AG650" i="1" s="1"/>
  <c r="AB650" i="1"/>
  <c r="AD650" i="1" s="1"/>
  <c r="W650" i="1" l="1"/>
  <c r="V650" i="1"/>
  <c r="AF651" i="1" s="1"/>
  <c r="AA650" i="1"/>
  <c r="AE651" i="1"/>
  <c r="Y651" i="1"/>
  <c r="AB651" i="1"/>
  <c r="AC651" i="1" l="1"/>
  <c r="AD651" i="1" s="1"/>
  <c r="AH650" i="1"/>
  <c r="AI650" i="1"/>
  <c r="AG651" i="1"/>
  <c r="Z651" i="1"/>
  <c r="AA651" i="1" s="1"/>
  <c r="AI651" i="1" l="1"/>
  <c r="AH651" i="1"/>
  <c r="W651" i="1"/>
  <c r="U651" i="1"/>
  <c r="X651" i="1"/>
  <c r="V651" i="1"/>
  <c r="AF652" i="1" s="1"/>
  <c r="X652" i="1" l="1"/>
  <c r="Z652" i="1"/>
  <c r="AC652" i="1"/>
  <c r="V652" i="1"/>
  <c r="AF653" i="1" s="1"/>
  <c r="Y652" i="1"/>
  <c r="AE652" i="1"/>
  <c r="AG652" i="1" s="1"/>
  <c r="AB652" i="1"/>
  <c r="AD652" i="1" s="1"/>
  <c r="U652" i="1"/>
  <c r="W652" i="1"/>
  <c r="Z653" i="1" l="1"/>
  <c r="AC653" i="1"/>
  <c r="AE653" i="1"/>
  <c r="AG653" i="1" s="1"/>
  <c r="Y653" i="1"/>
  <c r="AB653" i="1"/>
  <c r="AD653" i="1" s="1"/>
  <c r="AA652" i="1"/>
  <c r="AH652" i="1" s="1"/>
  <c r="AI652" i="1" l="1"/>
  <c r="AA653" i="1"/>
  <c r="AI653" i="1" s="1"/>
  <c r="AH653" i="1" l="1"/>
  <c r="X653" i="1"/>
  <c r="X654" i="1" s="1"/>
  <c r="V653" i="1"/>
  <c r="AF654" i="1" s="1"/>
  <c r="W653" i="1"/>
  <c r="U653" i="1"/>
  <c r="Y654" i="1" l="1"/>
  <c r="AE654" i="1"/>
  <c r="AB654" i="1"/>
  <c r="U654" i="1"/>
  <c r="W654" i="1"/>
  <c r="Z654" i="1"/>
  <c r="AC654" i="1"/>
  <c r="AD654" i="1" s="1"/>
  <c r="V654" i="1"/>
  <c r="AF655" i="1" s="1"/>
  <c r="AG654" i="1" l="1"/>
  <c r="AC655" i="1"/>
  <c r="Z655" i="1"/>
  <c r="AE655" i="1"/>
  <c r="AG655" i="1" s="1"/>
  <c r="Y655" i="1"/>
  <c r="AB655" i="1"/>
  <c r="AD655" i="1" s="1"/>
  <c r="AA654" i="1"/>
  <c r="AI654" i="1" l="1"/>
  <c r="X655" i="1" s="1"/>
  <c r="AH654" i="1"/>
  <c r="AA655" i="1"/>
  <c r="AH655" i="1" s="1"/>
  <c r="V655" i="1" l="1"/>
  <c r="AF656" i="1" s="1"/>
  <c r="AI655" i="1"/>
  <c r="X656" i="1" s="1"/>
  <c r="W655" i="1"/>
  <c r="U655" i="1"/>
  <c r="Z656" i="1"/>
  <c r="AC656" i="1"/>
  <c r="V656" i="1" l="1"/>
  <c r="AF657" i="1" s="1"/>
  <c r="AB656" i="1"/>
  <c r="AD656" i="1" s="1"/>
  <c r="U656" i="1"/>
  <c r="Y656" i="1"/>
  <c r="AE656" i="1"/>
  <c r="AG656" i="1" s="1"/>
  <c r="W656" i="1"/>
  <c r="Y657" i="1" l="1"/>
  <c r="AE657" i="1"/>
  <c r="AG657" i="1" s="1"/>
  <c r="AB657" i="1"/>
  <c r="AA656" i="1"/>
  <c r="AC657" i="1"/>
  <c r="AD657" i="1" s="1"/>
  <c r="Z657" i="1"/>
  <c r="AH656" i="1" l="1"/>
  <c r="W657" i="1" s="1"/>
  <c r="AI656" i="1"/>
  <c r="AA657" i="1"/>
  <c r="AH657" i="1" s="1"/>
  <c r="U657" i="1" l="1"/>
  <c r="U658" i="1" s="1"/>
  <c r="AI657" i="1"/>
  <c r="Y658" i="1"/>
  <c r="AB658" i="1"/>
  <c r="V657" i="1"/>
  <c r="AF658" i="1" s="1"/>
  <c r="X657" i="1"/>
  <c r="AE658" i="1" l="1"/>
  <c r="W658" i="1"/>
  <c r="Y659" i="1"/>
  <c r="AE659" i="1"/>
  <c r="AB659" i="1"/>
  <c r="V658" i="1"/>
  <c r="AF659" i="1" s="1"/>
  <c r="Z658" i="1"/>
  <c r="AA658" i="1" s="1"/>
  <c r="AG658" i="1"/>
  <c r="AC658" i="1"/>
  <c r="AD658" i="1" s="1"/>
  <c r="X658" i="1"/>
  <c r="AH658" i="1" l="1"/>
  <c r="AI658" i="1"/>
  <c r="V659" i="1" s="1"/>
  <c r="AF660" i="1" s="1"/>
  <c r="AG659" i="1"/>
  <c r="Z659" i="1"/>
  <c r="AA659" i="1" s="1"/>
  <c r="AC659" i="1"/>
  <c r="AD659" i="1" s="1"/>
  <c r="AI659" i="1" l="1"/>
  <c r="AH659" i="1"/>
  <c r="X659" i="1"/>
  <c r="AC660" i="1"/>
  <c r="Z660" i="1"/>
  <c r="U659" i="1"/>
  <c r="W659" i="1"/>
  <c r="V660" i="1" l="1"/>
  <c r="AF661" i="1" s="1"/>
  <c r="X660" i="1"/>
  <c r="W660" i="1"/>
  <c r="AC661" i="1"/>
  <c r="Z661" i="1"/>
  <c r="AE660" i="1"/>
  <c r="AG660" i="1" s="1"/>
  <c r="AB660" i="1"/>
  <c r="AD660" i="1" s="1"/>
  <c r="Y660" i="1"/>
  <c r="U660" i="1"/>
  <c r="AB661" i="1" l="1"/>
  <c r="AD661" i="1" s="1"/>
  <c r="AE661" i="1"/>
  <c r="AG661" i="1" s="1"/>
  <c r="Y661" i="1"/>
  <c r="AA660" i="1"/>
  <c r="AH660" i="1" l="1"/>
  <c r="AI660" i="1"/>
  <c r="AA661" i="1"/>
  <c r="AH661" i="1" l="1"/>
  <c r="AI661" i="1"/>
  <c r="W661" i="1"/>
  <c r="U661" i="1"/>
  <c r="X661" i="1"/>
  <c r="V661" i="1"/>
  <c r="AF662" i="1" s="1"/>
  <c r="W662" i="1" l="1"/>
  <c r="Z662" i="1"/>
  <c r="AC662" i="1"/>
  <c r="V662" i="1"/>
  <c r="AF663" i="1" s="1"/>
  <c r="X662" i="1"/>
  <c r="AE662" i="1"/>
  <c r="AG662" i="1" s="1"/>
  <c r="Y662" i="1"/>
  <c r="AB662" i="1"/>
  <c r="AD662" i="1" s="1"/>
  <c r="U662" i="1"/>
  <c r="AB663" i="1" l="1"/>
  <c r="Y663" i="1"/>
  <c r="AE663" i="1"/>
  <c r="AG663" i="1" s="1"/>
  <c r="AC663" i="1"/>
  <c r="Z663" i="1"/>
  <c r="AA662" i="1"/>
  <c r="AH662" i="1" s="1"/>
  <c r="AD663" i="1" l="1"/>
  <c r="AI662" i="1"/>
  <c r="AA663" i="1"/>
  <c r="AI663" i="1" s="1"/>
  <c r="AH663" i="1" l="1"/>
  <c r="W663" i="1"/>
  <c r="U663" i="1"/>
  <c r="X663" i="1"/>
  <c r="X664" i="1" s="1"/>
  <c r="V663" i="1"/>
  <c r="AF664" i="1" s="1"/>
  <c r="AC664" i="1" l="1"/>
  <c r="Z664" i="1"/>
  <c r="V664" i="1"/>
  <c r="AF665" i="1" s="1"/>
  <c r="AB664" i="1"/>
  <c r="Y664" i="1"/>
  <c r="AE664" i="1"/>
  <c r="AG664" i="1" s="1"/>
  <c r="U664" i="1"/>
  <c r="W664" i="1"/>
  <c r="Z665" i="1" l="1"/>
  <c r="AC665" i="1"/>
  <c r="AE665" i="1"/>
  <c r="AG665" i="1" s="1"/>
  <c r="Y665" i="1"/>
  <c r="AB665" i="1"/>
  <c r="AD665" i="1" s="1"/>
  <c r="AA664" i="1"/>
  <c r="AD664" i="1"/>
  <c r="AH664" i="1" l="1"/>
  <c r="AI664" i="1"/>
  <c r="AA665" i="1"/>
  <c r="AH665" i="1" s="1"/>
  <c r="AI665" i="1" l="1"/>
  <c r="W665" i="1"/>
  <c r="U665" i="1"/>
  <c r="X665" i="1"/>
  <c r="V665" i="1"/>
  <c r="AF666" i="1" s="1"/>
  <c r="AE666" i="1" l="1"/>
  <c r="Y666" i="1"/>
  <c r="AB666" i="1"/>
  <c r="U666" i="1"/>
  <c r="W666" i="1"/>
  <c r="AC666" i="1"/>
  <c r="AD666" i="1" s="1"/>
  <c r="Z666" i="1"/>
  <c r="V666" i="1"/>
  <c r="AF667" i="1" s="1"/>
  <c r="X666" i="1"/>
  <c r="AG666" i="1" l="1"/>
  <c r="AE667" i="1"/>
  <c r="Y667" i="1"/>
  <c r="AB667" i="1"/>
  <c r="Z667" i="1"/>
  <c r="AC667" i="1"/>
  <c r="AA666" i="1"/>
  <c r="AH666" i="1" s="1"/>
  <c r="AG667" i="1" l="1"/>
  <c r="AI666" i="1"/>
  <c r="U667" i="1"/>
  <c r="AE668" i="1" s="1"/>
  <c r="AD667" i="1"/>
  <c r="AA667" i="1"/>
  <c r="AH667" i="1" l="1"/>
  <c r="AI667" i="1"/>
  <c r="AB668" i="1"/>
  <c r="W667" i="1"/>
  <c r="Y668" i="1"/>
  <c r="X667" i="1"/>
  <c r="V667" i="1"/>
  <c r="AF668" i="1" s="1"/>
  <c r="W668" i="1" l="1"/>
  <c r="X668" i="1"/>
  <c r="AG668" i="1"/>
  <c r="AC668" i="1"/>
  <c r="AD668" i="1" s="1"/>
  <c r="Z668" i="1"/>
  <c r="U668" i="1"/>
  <c r="V668" i="1"/>
  <c r="AF669" i="1" s="1"/>
  <c r="Z669" i="1" l="1"/>
  <c r="AC669" i="1"/>
  <c r="AB669" i="1"/>
  <c r="AE669" i="1"/>
  <c r="AG669" i="1" s="1"/>
  <c r="Y669" i="1"/>
  <c r="AA668" i="1"/>
  <c r="AH668" i="1" s="1"/>
  <c r="AI668" i="1" l="1"/>
  <c r="AA669" i="1"/>
  <c r="AD669" i="1"/>
  <c r="AH669" i="1" l="1"/>
  <c r="AI669" i="1"/>
  <c r="X669" i="1"/>
  <c r="V669" i="1"/>
  <c r="AF670" i="1" s="1"/>
  <c r="W669" i="1"/>
  <c r="U669" i="1"/>
  <c r="X670" i="1" l="1"/>
  <c r="AB670" i="1"/>
  <c r="Y670" i="1"/>
  <c r="AE670" i="1"/>
  <c r="U670" i="1"/>
  <c r="AC670" i="1"/>
  <c r="Z670" i="1"/>
  <c r="V670" i="1"/>
  <c r="AF671" i="1" s="1"/>
  <c r="W670" i="1"/>
  <c r="AG670" i="1" l="1"/>
  <c r="Y671" i="1"/>
  <c r="AB671" i="1"/>
  <c r="AE671" i="1"/>
  <c r="AG671" i="1" s="1"/>
  <c r="AC671" i="1"/>
  <c r="Z671" i="1"/>
  <c r="AA670" i="1"/>
  <c r="AD670" i="1"/>
  <c r="AH670" i="1" l="1"/>
  <c r="AI670" i="1"/>
  <c r="AD671" i="1"/>
  <c r="AA671" i="1"/>
  <c r="AH671" i="1" s="1"/>
  <c r="AI671" i="1" l="1"/>
  <c r="W671" i="1"/>
  <c r="U671" i="1"/>
  <c r="X671" i="1"/>
  <c r="V671" i="1"/>
  <c r="AF672" i="1" s="1"/>
  <c r="X672" i="1" l="1"/>
  <c r="AC672" i="1"/>
  <c r="Z672" i="1"/>
  <c r="V672" i="1"/>
  <c r="AF673" i="1" s="1"/>
  <c r="Y672" i="1"/>
  <c r="AE672" i="1"/>
  <c r="AG672" i="1" s="1"/>
  <c r="AB672" i="1"/>
  <c r="AD672" i="1" s="1"/>
  <c r="U672" i="1"/>
  <c r="W672" i="1"/>
  <c r="AB673" i="1" l="1"/>
  <c r="Y673" i="1"/>
  <c r="AE673" i="1"/>
  <c r="AG673" i="1" s="1"/>
  <c r="AA672" i="1"/>
  <c r="Z673" i="1"/>
  <c r="AC673" i="1"/>
  <c r="AI672" i="1" l="1"/>
  <c r="X673" i="1" s="1"/>
  <c r="AH672" i="1"/>
  <c r="AA673" i="1"/>
  <c r="AD673" i="1"/>
  <c r="AH673" i="1" l="1"/>
  <c r="V673" i="1"/>
  <c r="AF674" i="1" s="1"/>
  <c r="AI673" i="1"/>
  <c r="X674" i="1" s="1"/>
  <c r="W673" i="1"/>
  <c r="U673" i="1"/>
  <c r="AC674" i="1" l="1"/>
  <c r="Z674" i="1"/>
  <c r="W674" i="1"/>
  <c r="V674" i="1"/>
  <c r="AF675" i="1" s="1"/>
  <c r="AE674" i="1"/>
  <c r="AG674" i="1" s="1"/>
  <c r="Y674" i="1"/>
  <c r="AB674" i="1"/>
  <c r="AD674" i="1" s="1"/>
  <c r="U674" i="1"/>
  <c r="Z675" i="1" l="1"/>
  <c r="AC675" i="1"/>
  <c r="Y675" i="1"/>
  <c r="AE675" i="1"/>
  <c r="AG675" i="1" s="1"/>
  <c r="AB675" i="1"/>
  <c r="AD675" i="1" s="1"/>
  <c r="AA674" i="1"/>
  <c r="AH674" i="1" l="1"/>
  <c r="AI674" i="1"/>
  <c r="AA675" i="1"/>
  <c r="AH675" i="1" s="1"/>
  <c r="AI675" i="1" l="1"/>
  <c r="W675" i="1"/>
  <c r="U675" i="1"/>
  <c r="X675" i="1"/>
  <c r="V675" i="1"/>
  <c r="AF676" i="1" s="1"/>
  <c r="X676" i="1" l="1"/>
  <c r="AC676" i="1"/>
  <c r="V676" i="1"/>
  <c r="AF677" i="1" s="1"/>
  <c r="Z676" i="1"/>
  <c r="U676" i="1"/>
  <c r="Y676" i="1"/>
  <c r="AE676" i="1"/>
  <c r="AG676" i="1" s="1"/>
  <c r="AB676" i="1"/>
  <c r="AD676" i="1" s="1"/>
  <c r="W676" i="1"/>
  <c r="AB677" i="1" l="1"/>
  <c r="Y677" i="1"/>
  <c r="AE677" i="1"/>
  <c r="AA676" i="1"/>
  <c r="AH676" i="1" s="1"/>
  <c r="Z677" i="1"/>
  <c r="AC677" i="1"/>
  <c r="AG677" i="1" l="1"/>
  <c r="AI676" i="1"/>
  <c r="AA677" i="1"/>
  <c r="AD677" i="1"/>
  <c r="AH677" i="1" l="1"/>
  <c r="AI677" i="1"/>
  <c r="V677" i="1"/>
  <c r="AF678" i="1" s="1"/>
  <c r="X677" i="1"/>
  <c r="U677" i="1"/>
  <c r="W677" i="1"/>
  <c r="W678" i="1" l="1"/>
  <c r="X678" i="1"/>
  <c r="AE678" i="1"/>
  <c r="U678" i="1"/>
  <c r="Y678" i="1"/>
  <c r="AB678" i="1"/>
  <c r="Z678" i="1"/>
  <c r="V678" i="1"/>
  <c r="AF679" i="1" s="1"/>
  <c r="AC678" i="1"/>
  <c r="AG678" i="1" l="1"/>
  <c r="AD678" i="1"/>
  <c r="AC679" i="1"/>
  <c r="Z679" i="1"/>
  <c r="AA678" i="1"/>
  <c r="AH678" i="1" s="1"/>
  <c r="AB679" i="1"/>
  <c r="AD679" i="1" s="1"/>
  <c r="Y679" i="1"/>
  <c r="AE679" i="1"/>
  <c r="AG679" i="1" s="1"/>
  <c r="AI678" i="1" l="1"/>
  <c r="AA679" i="1"/>
  <c r="AH679" i="1" s="1"/>
  <c r="AI679" i="1" l="1"/>
  <c r="V679" i="1"/>
  <c r="AF680" i="1" s="1"/>
  <c r="X679" i="1"/>
  <c r="W679" i="1"/>
  <c r="U679" i="1"/>
  <c r="W680" i="1" l="1"/>
  <c r="X680" i="1"/>
  <c r="Z680" i="1"/>
  <c r="AC680" i="1"/>
  <c r="V680" i="1"/>
  <c r="AF681" i="1" s="1"/>
  <c r="AB680" i="1"/>
  <c r="AD680" i="1" s="1"/>
  <c r="Y680" i="1"/>
  <c r="AE680" i="1"/>
  <c r="AG680" i="1" s="1"/>
  <c r="U680" i="1"/>
  <c r="AA680" i="1" l="1"/>
  <c r="AH680" i="1" s="1"/>
  <c r="Y681" i="1"/>
  <c r="AB681" i="1"/>
  <c r="AE681" i="1"/>
  <c r="Z681" i="1"/>
  <c r="AC681" i="1"/>
  <c r="AG681" i="1" l="1"/>
  <c r="AI680" i="1"/>
  <c r="AD681" i="1"/>
  <c r="AA681" i="1"/>
  <c r="AH681" i="1" s="1"/>
  <c r="AI681" i="1" l="1"/>
  <c r="W681" i="1"/>
  <c r="W682" i="1" s="1"/>
  <c r="U681" i="1"/>
  <c r="X681" i="1"/>
  <c r="V681" i="1"/>
  <c r="AF682" i="1" s="1"/>
  <c r="V682" i="1" l="1"/>
  <c r="AF683" i="1" s="1"/>
  <c r="Y682" i="1"/>
  <c r="AE682" i="1"/>
  <c r="AG682" i="1" s="1"/>
  <c r="AB682" i="1"/>
  <c r="U682" i="1"/>
  <c r="Z682" i="1"/>
  <c r="AC682" i="1"/>
  <c r="X682" i="1"/>
  <c r="Z683" i="1" l="1"/>
  <c r="AC683" i="1"/>
  <c r="AA682" i="1"/>
  <c r="AH682" i="1" s="1"/>
  <c r="AD682" i="1"/>
  <c r="AE683" i="1"/>
  <c r="AG683" i="1" s="1"/>
  <c r="Y683" i="1"/>
  <c r="AB683" i="1"/>
  <c r="AD683" i="1" s="1"/>
  <c r="AI682" i="1" l="1"/>
  <c r="V683" i="1" s="1"/>
  <c r="AF684" i="1" s="1"/>
  <c r="AA683" i="1"/>
  <c r="AC684" i="1" l="1"/>
  <c r="AH683" i="1"/>
  <c r="AI683" i="1"/>
  <c r="X684" i="1" s="1"/>
  <c r="X683" i="1"/>
  <c r="Z684" i="1"/>
  <c r="W683" i="1"/>
  <c r="U683" i="1"/>
  <c r="AB684" i="1" l="1"/>
  <c r="AD684" i="1" s="1"/>
  <c r="Y684" i="1"/>
  <c r="AE684" i="1"/>
  <c r="AG684" i="1" s="1"/>
  <c r="U684" i="1"/>
  <c r="W684" i="1"/>
  <c r="V684" i="1"/>
  <c r="AF685" i="1" s="1"/>
  <c r="AC685" i="1" l="1"/>
  <c r="Z685" i="1"/>
  <c r="Y685" i="1"/>
  <c r="AB685" i="1"/>
  <c r="AD685" i="1" s="1"/>
  <c r="AE685" i="1"/>
  <c r="AG685" i="1" s="1"/>
  <c r="AA684" i="1"/>
  <c r="AH684" i="1" l="1"/>
  <c r="AI684" i="1"/>
  <c r="AA685" i="1"/>
  <c r="AH685" i="1" s="1"/>
  <c r="AI685" i="1" l="1"/>
  <c r="X685" i="1"/>
  <c r="V685" i="1"/>
  <c r="AF686" i="1" s="1"/>
  <c r="W685" i="1"/>
  <c r="U685" i="1"/>
  <c r="AC686" i="1" l="1"/>
  <c r="Z686" i="1"/>
  <c r="V686" i="1"/>
  <c r="AF687" i="1" s="1"/>
  <c r="W686" i="1"/>
  <c r="AB686" i="1"/>
  <c r="AE686" i="1"/>
  <c r="AG686" i="1" s="1"/>
  <c r="Y686" i="1"/>
  <c r="U686" i="1"/>
  <c r="X686" i="1"/>
  <c r="AC687" i="1" l="1"/>
  <c r="Z687" i="1"/>
  <c r="AA686" i="1"/>
  <c r="AD686" i="1"/>
  <c r="AE687" i="1"/>
  <c r="AG687" i="1" s="1"/>
  <c r="AB687" i="1"/>
  <c r="Y687" i="1"/>
  <c r="AI686" i="1" l="1"/>
  <c r="X687" i="1" s="1"/>
  <c r="AH686" i="1"/>
  <c r="AA687" i="1"/>
  <c r="AD687" i="1"/>
  <c r="AH687" i="1" l="1"/>
  <c r="V687" i="1"/>
  <c r="AF688" i="1" s="1"/>
  <c r="AI687" i="1"/>
  <c r="X688" i="1" s="1"/>
  <c r="W687" i="1"/>
  <c r="U687" i="1"/>
  <c r="Z688" i="1"/>
  <c r="AC688" i="1"/>
  <c r="V688" i="1" l="1"/>
  <c r="AF689" i="1" s="1"/>
  <c r="AE688" i="1"/>
  <c r="AG688" i="1" s="1"/>
  <c r="AB688" i="1"/>
  <c r="AD688" i="1" s="1"/>
  <c r="Y688" i="1"/>
  <c r="U688" i="1"/>
  <c r="W688" i="1"/>
  <c r="Z689" i="1" l="1"/>
  <c r="AC689" i="1"/>
  <c r="AE689" i="1"/>
  <c r="AG689" i="1" s="1"/>
  <c r="AB689" i="1"/>
  <c r="Y689" i="1"/>
  <c r="AA688" i="1"/>
  <c r="AD689" i="1" l="1"/>
  <c r="AH688" i="1"/>
  <c r="AI688" i="1"/>
  <c r="AA689" i="1"/>
  <c r="AH689" i="1" s="1"/>
  <c r="AI689" i="1" l="1"/>
  <c r="W689" i="1"/>
  <c r="U689" i="1"/>
  <c r="X689" i="1"/>
  <c r="V689" i="1"/>
  <c r="AF690" i="1" s="1"/>
  <c r="X690" i="1" l="1"/>
  <c r="AB690" i="1"/>
  <c r="AE690" i="1"/>
  <c r="Y690" i="1"/>
  <c r="U690" i="1"/>
  <c r="AC690" i="1"/>
  <c r="Z690" i="1"/>
  <c r="V690" i="1"/>
  <c r="AF691" i="1" s="1"/>
  <c r="W690" i="1"/>
  <c r="AG690" i="1" l="1"/>
  <c r="AC691" i="1"/>
  <c r="Z691" i="1"/>
  <c r="AD690" i="1"/>
  <c r="AE691" i="1"/>
  <c r="AG691" i="1" s="1"/>
  <c r="Y691" i="1"/>
  <c r="AB691" i="1"/>
  <c r="AD691" i="1" s="1"/>
  <c r="AA690" i="1"/>
  <c r="AH690" i="1" s="1"/>
  <c r="AI690" i="1" l="1"/>
  <c r="U691" i="1"/>
  <c r="Y692" i="1" s="1"/>
  <c r="AA691" i="1"/>
  <c r="AH691" i="1" s="1"/>
  <c r="AI691" i="1" l="1"/>
  <c r="AE692" i="1"/>
  <c r="AB692" i="1"/>
  <c r="W691" i="1"/>
  <c r="X691" i="1"/>
  <c r="V691" i="1"/>
  <c r="AF692" i="1" s="1"/>
  <c r="U692" i="1"/>
  <c r="AB693" i="1" l="1"/>
  <c r="Y693" i="1"/>
  <c r="AE693" i="1"/>
  <c r="W692" i="1"/>
  <c r="AG692" i="1"/>
  <c r="Z692" i="1"/>
  <c r="AC692" i="1"/>
  <c r="AD692" i="1" s="1"/>
  <c r="V692" i="1"/>
  <c r="AF693" i="1" s="1"/>
  <c r="X692" i="1"/>
  <c r="Z693" i="1" l="1"/>
  <c r="AA693" i="1" s="1"/>
  <c r="AC693" i="1"/>
  <c r="AG693" i="1"/>
  <c r="AA692" i="1"/>
  <c r="AH692" i="1" s="1"/>
  <c r="AD693" i="1"/>
  <c r="AH693" i="1" l="1"/>
  <c r="AI693" i="1"/>
  <c r="AI692" i="1"/>
  <c r="V693" i="1" s="1"/>
  <c r="AF694" i="1" s="1"/>
  <c r="U693" i="1"/>
  <c r="W693" i="1"/>
  <c r="W694" i="1" s="1"/>
  <c r="X693" i="1" l="1"/>
  <c r="X694" i="1" s="1"/>
  <c r="AB694" i="1"/>
  <c r="Y694" i="1"/>
  <c r="AE694" i="1"/>
  <c r="U694" i="1"/>
  <c r="AC694" i="1"/>
  <c r="Z694" i="1"/>
  <c r="V694" i="1"/>
  <c r="AF695" i="1" s="1"/>
  <c r="AG694" i="1" l="1"/>
  <c r="Z695" i="1"/>
  <c r="AC695" i="1"/>
  <c r="AE695" i="1"/>
  <c r="AB695" i="1"/>
  <c r="AD695" i="1" s="1"/>
  <c r="Y695" i="1"/>
  <c r="AD694" i="1"/>
  <c r="AA694" i="1"/>
  <c r="AH694" i="1" l="1"/>
  <c r="AG695" i="1"/>
  <c r="AI694" i="1"/>
  <c r="X695" i="1" s="1"/>
  <c r="AA695" i="1"/>
  <c r="AI695" i="1" s="1"/>
  <c r="AH695" i="1" l="1"/>
  <c r="V695" i="1"/>
  <c r="AF696" i="1" s="1"/>
  <c r="X696" i="1"/>
  <c r="W695" i="1"/>
  <c r="U695" i="1"/>
  <c r="V696" i="1" l="1"/>
  <c r="AF697" i="1" s="1"/>
  <c r="AC696" i="1"/>
  <c r="Z696" i="1"/>
  <c r="AC697" i="1"/>
  <c r="AE696" i="1"/>
  <c r="AG696" i="1" s="1"/>
  <c r="AB696" i="1"/>
  <c r="AD696" i="1" s="1"/>
  <c r="Y696" i="1"/>
  <c r="U696" i="1"/>
  <c r="W696" i="1"/>
  <c r="Z697" i="1" l="1"/>
  <c r="AA696" i="1"/>
  <c r="AH696" i="1" s="1"/>
  <c r="AB697" i="1"/>
  <c r="AD697" i="1" s="1"/>
  <c r="AE697" i="1"/>
  <c r="AG697" i="1" s="1"/>
  <c r="Y697" i="1"/>
  <c r="AI696" i="1" l="1"/>
  <c r="AA697" i="1"/>
  <c r="AH697" i="1" l="1"/>
  <c r="AI697" i="1"/>
  <c r="X697" i="1"/>
  <c r="V697" i="1"/>
  <c r="AF698" i="1" s="1"/>
  <c r="W697" i="1"/>
  <c r="U697" i="1"/>
  <c r="V698" i="1" l="1"/>
  <c r="AF699" i="1" s="1"/>
  <c r="W698" i="1"/>
  <c r="AE698" i="1"/>
  <c r="Y698" i="1"/>
  <c r="AB698" i="1"/>
  <c r="U698" i="1"/>
  <c r="X698" i="1"/>
  <c r="Z698" i="1"/>
  <c r="AC698" i="1"/>
  <c r="Z699" i="1"/>
  <c r="AC699" i="1" l="1"/>
  <c r="AG698" i="1"/>
  <c r="Y699" i="1"/>
  <c r="AE699" i="1"/>
  <c r="AG699" i="1" s="1"/>
  <c r="AB699" i="1"/>
  <c r="AD699" i="1" s="1"/>
  <c r="AD698" i="1"/>
  <c r="AA698" i="1"/>
  <c r="AI698" i="1" l="1"/>
  <c r="X699" i="1" s="1"/>
  <c r="AH698" i="1"/>
  <c r="AA699" i="1"/>
  <c r="AH699" i="1" l="1"/>
  <c r="AI699" i="1"/>
  <c r="V699" i="1"/>
  <c r="AF700" i="1" s="1"/>
  <c r="W699" i="1"/>
  <c r="U699" i="1"/>
  <c r="Z700" i="1" l="1"/>
  <c r="AC700" i="1"/>
  <c r="AE700" i="1"/>
  <c r="AG700" i="1" s="1"/>
  <c r="AB700" i="1"/>
  <c r="AD700" i="1" s="1"/>
  <c r="Y700" i="1"/>
  <c r="U700" i="1"/>
  <c r="V700" i="1"/>
  <c r="AF701" i="1" s="1"/>
  <c r="X700" i="1"/>
  <c r="W700" i="1"/>
  <c r="AB701" i="1" l="1"/>
  <c r="AE701" i="1"/>
  <c r="Y701" i="1"/>
  <c r="Z701" i="1"/>
  <c r="AC701" i="1"/>
  <c r="AD701" i="1" s="1"/>
  <c r="AA700" i="1"/>
  <c r="AG701" i="1" l="1"/>
  <c r="AH700" i="1"/>
  <c r="AI700" i="1"/>
  <c r="AA701" i="1"/>
  <c r="AH701" i="1" l="1"/>
  <c r="AI701" i="1"/>
  <c r="X701" i="1"/>
  <c r="V701" i="1"/>
  <c r="AF702" i="1" s="1"/>
  <c r="W701" i="1"/>
  <c r="U701" i="1"/>
  <c r="X702" i="1" l="1"/>
  <c r="W702" i="1"/>
  <c r="AB702" i="1"/>
  <c r="AE702" i="1"/>
  <c r="AG702" i="1" s="1"/>
  <c r="Y702" i="1"/>
  <c r="U702" i="1"/>
  <c r="Z702" i="1"/>
  <c r="AC702" i="1"/>
  <c r="V702" i="1"/>
  <c r="AF703" i="1" s="1"/>
  <c r="AC703" i="1" l="1"/>
  <c r="Z703" i="1"/>
  <c r="AA702" i="1"/>
  <c r="AD702" i="1"/>
  <c r="AB703" i="1"/>
  <c r="AD703" i="1" s="1"/>
  <c r="AE703" i="1"/>
  <c r="AG703" i="1" s="1"/>
  <c r="Y703" i="1"/>
  <c r="AH702" i="1" l="1"/>
  <c r="AI702" i="1"/>
  <c r="AA703" i="1"/>
  <c r="AH703" i="1" s="1"/>
  <c r="AI703" i="1" l="1"/>
  <c r="U703" i="1"/>
  <c r="W703" i="1"/>
  <c r="X703" i="1"/>
  <c r="V703" i="1"/>
  <c r="AF704" i="1" s="1"/>
  <c r="V704" i="1" l="1"/>
  <c r="AF705" i="1" s="1"/>
  <c r="X704" i="1"/>
  <c r="W704" i="1"/>
  <c r="AC704" i="1"/>
  <c r="Z704" i="1"/>
  <c r="AE704" i="1"/>
  <c r="AG704" i="1" s="1"/>
  <c r="AB704" i="1"/>
  <c r="Y704" i="1"/>
  <c r="U704" i="1"/>
  <c r="Z705" i="1" l="1"/>
  <c r="AD704" i="1"/>
  <c r="AC705" i="1"/>
  <c r="AA704" i="1"/>
  <c r="AH704" i="1" s="1"/>
  <c r="Y705" i="1"/>
  <c r="AB705" i="1"/>
  <c r="AD705" i="1" s="1"/>
  <c r="AE705" i="1"/>
  <c r="AG705" i="1" s="1"/>
  <c r="AI704" i="1" l="1"/>
  <c r="X705" i="1" s="1"/>
  <c r="AA705" i="1"/>
  <c r="AH705" i="1" l="1"/>
  <c r="AI705" i="1"/>
  <c r="X706" i="1" s="1"/>
  <c r="V705" i="1"/>
  <c r="AF706" i="1" s="1"/>
  <c r="W705" i="1"/>
  <c r="U705" i="1"/>
  <c r="Z706" i="1" l="1"/>
  <c r="AC706" i="1"/>
  <c r="V706" i="1"/>
  <c r="AF707" i="1" s="1"/>
  <c r="Y706" i="1"/>
  <c r="AE706" i="1"/>
  <c r="AG706" i="1" s="1"/>
  <c r="AB706" i="1"/>
  <c r="AD706" i="1" s="1"/>
  <c r="U706" i="1"/>
  <c r="W706" i="1"/>
  <c r="AB707" i="1" l="1"/>
  <c r="Y707" i="1"/>
  <c r="AE707" i="1"/>
  <c r="AG707" i="1" s="1"/>
  <c r="AA706" i="1"/>
  <c r="AH706" i="1" s="1"/>
  <c r="Z707" i="1"/>
  <c r="AC707" i="1"/>
  <c r="AI706" i="1" l="1"/>
  <c r="W707" i="1"/>
  <c r="U707" i="1"/>
  <c r="AA707" i="1"/>
  <c r="AD707" i="1"/>
  <c r="AH707" i="1" l="1"/>
  <c r="W708" i="1" s="1"/>
  <c r="AI707" i="1"/>
  <c r="X707" i="1"/>
  <c r="V707" i="1"/>
  <c r="AF708" i="1" s="1"/>
  <c r="AE708" i="1"/>
  <c r="Y708" i="1"/>
  <c r="AB708" i="1"/>
  <c r="X708" i="1" l="1"/>
  <c r="U708" i="1"/>
  <c r="Y709" i="1" s="1"/>
  <c r="AG708" i="1"/>
  <c r="Z708" i="1"/>
  <c r="AC708" i="1"/>
  <c r="AD708" i="1" s="1"/>
  <c r="V708" i="1"/>
  <c r="AF709" i="1" s="1"/>
  <c r="AB709" i="1" l="1"/>
  <c r="AE709" i="1"/>
  <c r="AA708" i="1"/>
  <c r="AH708" i="1" s="1"/>
  <c r="AC709" i="1"/>
  <c r="AD709" i="1" s="1"/>
  <c r="Z709" i="1"/>
  <c r="AG709" i="1" l="1"/>
  <c r="AA709" i="1"/>
  <c r="AH709" i="1" s="1"/>
  <c r="AI708" i="1"/>
  <c r="V709" i="1" s="1"/>
  <c r="AF710" i="1" s="1"/>
  <c r="U709" i="1"/>
  <c r="W709" i="1"/>
  <c r="X709" i="1" l="1"/>
  <c r="W710" i="1"/>
  <c r="AI709" i="1"/>
  <c r="V710" i="1" s="1"/>
  <c r="AF711" i="1" s="1"/>
  <c r="AC710" i="1"/>
  <c r="Z710" i="1"/>
  <c r="AE710" i="1"/>
  <c r="AG710" i="1" s="1"/>
  <c r="AB710" i="1"/>
  <c r="AD710" i="1" s="1"/>
  <c r="Y710" i="1"/>
  <c r="U710" i="1"/>
  <c r="X710" i="1" l="1"/>
  <c r="AE711" i="1"/>
  <c r="Y711" i="1"/>
  <c r="AB711" i="1"/>
  <c r="AA710" i="1"/>
  <c r="AH710" i="1" s="1"/>
  <c r="AC711" i="1"/>
  <c r="Z711" i="1"/>
  <c r="AG711" i="1" l="1"/>
  <c r="AI710" i="1"/>
  <c r="AD711" i="1"/>
  <c r="AA711" i="1"/>
  <c r="AH711" i="1" l="1"/>
  <c r="AI711" i="1"/>
  <c r="V711" i="1"/>
  <c r="AF712" i="1" s="1"/>
  <c r="X711" i="1"/>
  <c r="W711" i="1"/>
  <c r="U711" i="1"/>
  <c r="U712" i="1" l="1"/>
  <c r="Y712" i="1"/>
  <c r="AE712" i="1"/>
  <c r="AB712" i="1"/>
  <c r="W712" i="1"/>
  <c r="X712" i="1"/>
  <c r="Z712" i="1"/>
  <c r="AC712" i="1"/>
  <c r="V712" i="1"/>
  <c r="AF713" i="1" s="1"/>
  <c r="AG712" i="1" l="1"/>
  <c r="Z713" i="1"/>
  <c r="AC713" i="1"/>
  <c r="AD712" i="1"/>
  <c r="AA712" i="1"/>
  <c r="AH712" i="1" s="1"/>
  <c r="AB713" i="1"/>
  <c r="Y713" i="1"/>
  <c r="AE713" i="1"/>
  <c r="AG713" i="1" s="1"/>
  <c r="AI712" i="1" l="1"/>
  <c r="AA713" i="1"/>
  <c r="AD713" i="1"/>
  <c r="AH713" i="1" l="1"/>
  <c r="AI713" i="1"/>
  <c r="V713" i="1"/>
  <c r="AF714" i="1" s="1"/>
  <c r="X713" i="1"/>
  <c r="W713" i="1"/>
  <c r="U713" i="1"/>
  <c r="W714" i="1" l="1"/>
  <c r="X714" i="1"/>
  <c r="AE714" i="1"/>
  <c r="AB714" i="1"/>
  <c r="U714" i="1"/>
  <c r="Y714" i="1"/>
  <c r="V714" i="1"/>
  <c r="AF715" i="1" s="1"/>
  <c r="AC714" i="1"/>
  <c r="Z714" i="1"/>
  <c r="AG714" i="1" l="1"/>
  <c r="AD714" i="1"/>
  <c r="Y715" i="1"/>
  <c r="AE715" i="1"/>
  <c r="AG715" i="1" s="1"/>
  <c r="AB715" i="1"/>
  <c r="AC715" i="1"/>
  <c r="Z715" i="1"/>
  <c r="AA714" i="1"/>
  <c r="AD715" i="1" l="1"/>
  <c r="AI714" i="1"/>
  <c r="X715" i="1" s="1"/>
  <c r="AH714" i="1"/>
  <c r="AA715" i="1"/>
  <c r="AH715" i="1" s="1"/>
  <c r="V715" i="1" l="1"/>
  <c r="AF716" i="1" s="1"/>
  <c r="AI715" i="1"/>
  <c r="X716" i="1" s="1"/>
  <c r="W715" i="1"/>
  <c r="U715" i="1"/>
  <c r="Z716" i="1"/>
  <c r="AC716" i="1"/>
  <c r="V716" i="1" l="1"/>
  <c r="AF717" i="1" s="1"/>
  <c r="U716" i="1"/>
  <c r="AE716" i="1"/>
  <c r="AG716" i="1" s="1"/>
  <c r="AB716" i="1"/>
  <c r="AD716" i="1" s="1"/>
  <c r="Y716" i="1"/>
  <c r="W716" i="1"/>
  <c r="Z717" i="1" l="1"/>
  <c r="AC717" i="1"/>
  <c r="AA716" i="1"/>
  <c r="AB717" i="1"/>
  <c r="AD717" i="1" s="1"/>
  <c r="AE717" i="1"/>
  <c r="AG717" i="1" s="1"/>
  <c r="Y717" i="1"/>
  <c r="AH716" i="1" l="1"/>
  <c r="AI716" i="1"/>
  <c r="AA717" i="1"/>
  <c r="AH717" i="1" s="1"/>
  <c r="AI717" i="1" l="1"/>
  <c r="W717" i="1"/>
  <c r="U717" i="1"/>
  <c r="V717" i="1"/>
  <c r="AF718" i="1" s="1"/>
  <c r="X717" i="1"/>
  <c r="X718" i="1" l="1"/>
  <c r="Z718" i="1"/>
  <c r="AC718" i="1"/>
  <c r="V718" i="1"/>
  <c r="AF719" i="1" s="1"/>
  <c r="U718" i="1"/>
  <c r="Y718" i="1"/>
  <c r="AE718" i="1"/>
  <c r="AG718" i="1" s="1"/>
  <c r="AB718" i="1"/>
  <c r="AD718" i="1" s="1"/>
  <c r="W718" i="1"/>
  <c r="Z719" i="1" l="1"/>
  <c r="AC719" i="1"/>
  <c r="AA718" i="1"/>
  <c r="Y719" i="1"/>
  <c r="AB719" i="1"/>
  <c r="AD719" i="1" s="1"/>
  <c r="AE719" i="1"/>
  <c r="AG719" i="1" s="1"/>
  <c r="AI718" i="1" l="1"/>
  <c r="X719" i="1" s="1"/>
  <c r="AH718" i="1"/>
  <c r="AA719" i="1"/>
  <c r="V719" i="1" l="1"/>
  <c r="AF720" i="1" s="1"/>
  <c r="AI719" i="1"/>
  <c r="V720" i="1" s="1"/>
  <c r="AF721" i="1" s="1"/>
  <c r="AH719" i="1"/>
  <c r="W719" i="1"/>
  <c r="U719" i="1"/>
  <c r="Z720" i="1"/>
  <c r="AC720" i="1"/>
  <c r="X720" i="1" l="1"/>
  <c r="AC721" i="1"/>
  <c r="Z721" i="1"/>
  <c r="U720" i="1"/>
  <c r="AB720" i="1"/>
  <c r="AD720" i="1" s="1"/>
  <c r="AE720" i="1"/>
  <c r="AG720" i="1" s="1"/>
  <c r="Y720" i="1"/>
  <c r="W720" i="1"/>
  <c r="AA720" i="1" l="1"/>
  <c r="AB721" i="1"/>
  <c r="AD721" i="1" s="1"/>
  <c r="Y721" i="1"/>
  <c r="AE721" i="1"/>
  <c r="AG721" i="1" s="1"/>
  <c r="AH720" i="1" l="1"/>
  <c r="AI720" i="1"/>
  <c r="AA721" i="1"/>
  <c r="AH721" i="1" l="1"/>
  <c r="AI721" i="1"/>
  <c r="W721" i="1"/>
  <c r="U721" i="1"/>
  <c r="X721" i="1"/>
  <c r="V721" i="1"/>
  <c r="AF722" i="1" s="1"/>
  <c r="X722" i="1" l="1"/>
  <c r="AC722" i="1"/>
  <c r="V722" i="1"/>
  <c r="AF723" i="1" s="1"/>
  <c r="Z722" i="1"/>
  <c r="AB722" i="1"/>
  <c r="U722" i="1"/>
  <c r="AE722" i="1"/>
  <c r="AG722" i="1" s="1"/>
  <c r="Y722" i="1"/>
  <c r="W722" i="1"/>
  <c r="Z723" i="1" l="1"/>
  <c r="AC723" i="1"/>
  <c r="AE723" i="1"/>
  <c r="AG723" i="1" s="1"/>
  <c r="Y723" i="1"/>
  <c r="AB723" i="1"/>
  <c r="AD722" i="1"/>
  <c r="AA722" i="1"/>
  <c r="AH722" i="1" s="1"/>
  <c r="AI722" i="1" l="1"/>
  <c r="AD723" i="1"/>
  <c r="AA723" i="1"/>
  <c r="AI723" i="1" s="1"/>
  <c r="AH723" i="1" l="1"/>
  <c r="X723" i="1"/>
  <c r="X724" i="1" s="1"/>
  <c r="V723" i="1"/>
  <c r="AF724" i="1" s="1"/>
  <c r="W723" i="1"/>
  <c r="U723" i="1"/>
  <c r="Y724" i="1" l="1"/>
  <c r="AB724" i="1"/>
  <c r="AE724" i="1"/>
  <c r="U724" i="1"/>
  <c r="W724" i="1"/>
  <c r="AC724" i="1"/>
  <c r="Z724" i="1"/>
  <c r="V724" i="1"/>
  <c r="AF725" i="1" s="1"/>
  <c r="AG724" i="1" l="1"/>
  <c r="Y725" i="1"/>
  <c r="AB725" i="1"/>
  <c r="AE725" i="1"/>
  <c r="AG725" i="1" s="1"/>
  <c r="AC725" i="1"/>
  <c r="Z725" i="1"/>
  <c r="AD724" i="1"/>
  <c r="AA724" i="1"/>
  <c r="AH724" i="1" l="1"/>
  <c r="AI724" i="1"/>
  <c r="AD725" i="1"/>
  <c r="AA725" i="1"/>
  <c r="AH725" i="1" s="1"/>
  <c r="AI725" i="1" l="1"/>
  <c r="X725" i="1"/>
  <c r="V725" i="1"/>
  <c r="AF726" i="1" s="1"/>
  <c r="U725" i="1"/>
  <c r="W725" i="1"/>
  <c r="V726" i="1" l="1"/>
  <c r="AF727" i="1" s="1"/>
  <c r="W726" i="1"/>
  <c r="AC726" i="1"/>
  <c r="Z726" i="1"/>
  <c r="AE726" i="1"/>
  <c r="AG726" i="1" s="1"/>
  <c r="Y726" i="1"/>
  <c r="AB726" i="1"/>
  <c r="AD726" i="1" s="1"/>
  <c r="U726" i="1"/>
  <c r="X726" i="1"/>
  <c r="Z727" i="1" l="1"/>
  <c r="AC727" i="1"/>
  <c r="AB727" i="1"/>
  <c r="Y727" i="1"/>
  <c r="AE727" i="1"/>
  <c r="AG727" i="1" s="1"/>
  <c r="AA726" i="1"/>
  <c r="AH726" i="1" s="1"/>
  <c r="AD727" i="1" l="1"/>
  <c r="AI726" i="1"/>
  <c r="AA727" i="1"/>
  <c r="AH727" i="1" l="1"/>
  <c r="AI727" i="1"/>
  <c r="W727" i="1"/>
  <c r="U727" i="1"/>
  <c r="X727" i="1"/>
  <c r="V727" i="1"/>
  <c r="AF728" i="1" s="1"/>
  <c r="X728" i="1" l="1"/>
  <c r="Z728" i="1"/>
  <c r="AC728" i="1"/>
  <c r="V728" i="1"/>
  <c r="AF729" i="1" s="1"/>
  <c r="AE728" i="1"/>
  <c r="AG728" i="1" s="1"/>
  <c r="Y728" i="1"/>
  <c r="AB728" i="1"/>
  <c r="AD728" i="1" s="1"/>
  <c r="U728" i="1"/>
  <c r="W728" i="1"/>
  <c r="AE729" i="1" l="1"/>
  <c r="AB729" i="1"/>
  <c r="Y729" i="1"/>
  <c r="AA728" i="1"/>
  <c r="AH728" i="1" s="1"/>
  <c r="AC729" i="1"/>
  <c r="AD729" i="1" s="1"/>
  <c r="Z729" i="1"/>
  <c r="AG729" i="1" l="1"/>
  <c r="AI728" i="1"/>
  <c r="AA729" i="1"/>
  <c r="AI729" i="1" s="1"/>
  <c r="AH729" i="1" l="1"/>
  <c r="W729" i="1"/>
  <c r="U729" i="1"/>
  <c r="X729" i="1"/>
  <c r="X730" i="1" s="1"/>
  <c r="V729" i="1"/>
  <c r="AF730" i="1" s="1"/>
  <c r="Z730" i="1" l="1"/>
  <c r="AC730" i="1"/>
  <c r="V730" i="1"/>
  <c r="AF731" i="1" s="1"/>
  <c r="W730" i="1"/>
  <c r="AB730" i="1"/>
  <c r="AD730" i="1" s="1"/>
  <c r="Y730" i="1"/>
  <c r="AE730" i="1"/>
  <c r="AG730" i="1" s="1"/>
  <c r="U730" i="1"/>
  <c r="Y731" i="1" l="1"/>
  <c r="AB731" i="1"/>
  <c r="AE731" i="1"/>
  <c r="AG731" i="1" s="1"/>
  <c r="AC731" i="1"/>
  <c r="Z731" i="1"/>
  <c r="AA730" i="1"/>
  <c r="AH730" i="1" s="1"/>
  <c r="AI730" i="1" l="1"/>
  <c r="AD731" i="1"/>
  <c r="AA731" i="1"/>
  <c r="AH731" i="1" s="1"/>
  <c r="AI731" i="1" l="1"/>
  <c r="X731" i="1"/>
  <c r="V731" i="1"/>
  <c r="AF732" i="1" s="1"/>
  <c r="W731" i="1"/>
  <c r="U731" i="1"/>
  <c r="X732" i="1" l="1"/>
  <c r="Z732" i="1"/>
  <c r="AC732" i="1"/>
  <c r="V732" i="1"/>
  <c r="AF733" i="1" s="1"/>
  <c r="Y732" i="1"/>
  <c r="U732" i="1"/>
  <c r="AB732" i="1"/>
  <c r="AD732" i="1" s="1"/>
  <c r="AE732" i="1"/>
  <c r="AG732" i="1" s="1"/>
  <c r="W732" i="1"/>
  <c r="AB733" i="1" l="1"/>
  <c r="AE733" i="1"/>
  <c r="Y733" i="1"/>
  <c r="AA732" i="1"/>
  <c r="AC733" i="1"/>
  <c r="Z733" i="1"/>
  <c r="AG733" i="1" l="1"/>
  <c r="AI732" i="1"/>
  <c r="X733" i="1" s="1"/>
  <c r="AH732" i="1"/>
  <c r="AD733" i="1"/>
  <c r="AA733" i="1"/>
  <c r="AH733" i="1" s="1"/>
  <c r="V733" i="1" l="1"/>
  <c r="AF734" i="1" s="1"/>
  <c r="AI733" i="1"/>
  <c r="X734" i="1" s="1"/>
  <c r="W733" i="1"/>
  <c r="U733" i="1"/>
  <c r="AC734" i="1" l="1"/>
  <c r="Z734" i="1"/>
  <c r="V734" i="1"/>
  <c r="AF735" i="1" s="1"/>
  <c r="AE734" i="1"/>
  <c r="AG734" i="1" s="1"/>
  <c r="Y734" i="1"/>
  <c r="AB734" i="1"/>
  <c r="AD734" i="1" s="1"/>
  <c r="U734" i="1"/>
  <c r="W734" i="1"/>
  <c r="Z735" i="1" l="1"/>
  <c r="AC735" i="1"/>
  <c r="Y735" i="1"/>
  <c r="AE735" i="1"/>
  <c r="AG735" i="1" s="1"/>
  <c r="AB735" i="1"/>
  <c r="AD735" i="1" s="1"/>
  <c r="AA734" i="1"/>
  <c r="AH734" i="1" l="1"/>
  <c r="AI734" i="1"/>
  <c r="AA735" i="1"/>
  <c r="AH735" i="1" l="1"/>
  <c r="AI735" i="1"/>
  <c r="W735" i="1"/>
  <c r="U735" i="1"/>
  <c r="X735" i="1"/>
  <c r="V735" i="1"/>
  <c r="AF736" i="1" s="1"/>
  <c r="X736" i="1" l="1"/>
  <c r="Y736" i="1"/>
  <c r="AE736" i="1"/>
  <c r="AB736" i="1"/>
  <c r="U736" i="1"/>
  <c r="W736" i="1"/>
  <c r="Z736" i="1"/>
  <c r="AC736" i="1"/>
  <c r="V736" i="1"/>
  <c r="AF737" i="1" s="1"/>
  <c r="AG736" i="1" l="1"/>
  <c r="AE737" i="1"/>
  <c r="AB737" i="1"/>
  <c r="Y737" i="1"/>
  <c r="Z737" i="1"/>
  <c r="AC737" i="1"/>
  <c r="AD736" i="1"/>
  <c r="AA736" i="1"/>
  <c r="AH736" i="1" l="1"/>
  <c r="AG737" i="1"/>
  <c r="AI736" i="1"/>
  <c r="AA737" i="1"/>
  <c r="AD737" i="1"/>
  <c r="AH737" i="1" l="1"/>
  <c r="AI737" i="1"/>
  <c r="X737" i="1"/>
  <c r="V737" i="1"/>
  <c r="AF738" i="1" s="1"/>
  <c r="U737" i="1"/>
  <c r="W737" i="1"/>
  <c r="Y738" i="1" l="1"/>
  <c r="AE738" i="1"/>
  <c r="U738" i="1"/>
  <c r="AB738" i="1"/>
  <c r="AC738" i="1"/>
  <c r="Z738" i="1"/>
  <c r="W738" i="1"/>
  <c r="V738" i="1"/>
  <c r="AF739" i="1" s="1"/>
  <c r="X738" i="1"/>
  <c r="AG738" i="1" l="1"/>
  <c r="AD738" i="1"/>
  <c r="AE739" i="1"/>
  <c r="AB739" i="1"/>
  <c r="Y739" i="1"/>
  <c r="AC739" i="1"/>
  <c r="Z739" i="1"/>
  <c r="AA738" i="1"/>
  <c r="AH738" i="1" s="1"/>
  <c r="AG739" i="1" l="1"/>
  <c r="AI738" i="1"/>
  <c r="X739" i="1" s="1"/>
  <c r="AD739" i="1"/>
  <c r="AA739" i="1"/>
  <c r="AH739" i="1" s="1"/>
  <c r="AI739" i="1" l="1"/>
  <c r="X740" i="1" s="1"/>
  <c r="V739" i="1"/>
  <c r="AF740" i="1" s="1"/>
  <c r="W739" i="1"/>
  <c r="U739" i="1"/>
  <c r="Z740" i="1"/>
  <c r="AC740" i="1" l="1"/>
  <c r="V740" i="1"/>
  <c r="AF741" i="1" s="1"/>
  <c r="AB740" i="1"/>
  <c r="AD740" i="1" s="1"/>
  <c r="AE740" i="1"/>
  <c r="AG740" i="1" s="1"/>
  <c r="Y740" i="1"/>
  <c r="U740" i="1"/>
  <c r="W740" i="1"/>
  <c r="AE741" i="1" l="1"/>
  <c r="Y741" i="1"/>
  <c r="AB741" i="1"/>
  <c r="AA740" i="1"/>
  <c r="AC741" i="1"/>
  <c r="Z741" i="1"/>
  <c r="AG741" i="1" l="1"/>
  <c r="AH740" i="1"/>
  <c r="U741" i="1" s="1"/>
  <c r="AI740" i="1"/>
  <c r="AD741" i="1"/>
  <c r="AA741" i="1"/>
  <c r="AH741" i="1" l="1"/>
  <c r="W742" i="1" s="1"/>
  <c r="W741" i="1"/>
  <c r="AI741" i="1"/>
  <c r="V741" i="1"/>
  <c r="AF742" i="1" s="1"/>
  <c r="X741" i="1"/>
  <c r="Y742" i="1"/>
  <c r="AE742" i="1"/>
  <c r="AB742" i="1"/>
  <c r="U742" i="1" l="1"/>
  <c r="V742" i="1"/>
  <c r="AF743" i="1" s="1"/>
  <c r="X742" i="1"/>
  <c r="AC742" i="1"/>
  <c r="AD742" i="1" s="1"/>
  <c r="AG742" i="1"/>
  <c r="Z742" i="1"/>
  <c r="AC743" i="1" l="1"/>
  <c r="Z743" i="1"/>
  <c r="AE743" i="1"/>
  <c r="AG743" i="1" s="1"/>
  <c r="AB743" i="1"/>
  <c r="Y743" i="1"/>
  <c r="AA742" i="1"/>
  <c r="AH742" i="1" s="1"/>
  <c r="AI742" i="1" l="1"/>
  <c r="AA743" i="1"/>
  <c r="AD743" i="1"/>
  <c r="AH743" i="1" l="1"/>
  <c r="AI743" i="1"/>
  <c r="X743" i="1"/>
  <c r="V743" i="1"/>
  <c r="AF744" i="1" s="1"/>
  <c r="W743" i="1"/>
  <c r="U743" i="1"/>
  <c r="X744" i="1" l="1"/>
  <c r="W744" i="1"/>
  <c r="Z744" i="1"/>
  <c r="AC744" i="1"/>
  <c r="V744" i="1"/>
  <c r="AF745" i="1" s="1"/>
  <c r="Y744" i="1"/>
  <c r="AE744" i="1"/>
  <c r="AG744" i="1" s="1"/>
  <c r="U744" i="1"/>
  <c r="AB744" i="1"/>
  <c r="AD744" i="1" l="1"/>
  <c r="AA744" i="1"/>
  <c r="Y745" i="1"/>
  <c r="AE745" i="1"/>
  <c r="AB745" i="1"/>
  <c r="AC745" i="1"/>
  <c r="Z745" i="1"/>
  <c r="AG745" i="1" l="1"/>
  <c r="AI744" i="1"/>
  <c r="X745" i="1" s="1"/>
  <c r="AH744" i="1"/>
  <c r="AA745" i="1"/>
  <c r="AD745" i="1"/>
  <c r="AH745" i="1" l="1"/>
  <c r="V745" i="1"/>
  <c r="AF746" i="1" s="1"/>
  <c r="AI745" i="1"/>
  <c r="X746" i="1" s="1"/>
  <c r="W745" i="1"/>
  <c r="U745" i="1"/>
  <c r="AC746" i="1"/>
  <c r="Z746" i="1"/>
  <c r="V746" i="1" l="1"/>
  <c r="AF747" i="1" s="1"/>
  <c r="Y746" i="1"/>
  <c r="AB746" i="1"/>
  <c r="AD746" i="1" s="1"/>
  <c r="AE746" i="1"/>
  <c r="AG746" i="1" s="1"/>
  <c r="U746" i="1"/>
  <c r="W746" i="1"/>
  <c r="Z747" i="1" l="1"/>
  <c r="AC747" i="1"/>
  <c r="AE747" i="1"/>
  <c r="AG747" i="1" s="1"/>
  <c r="AB747" i="1"/>
  <c r="Y747" i="1"/>
  <c r="AA746" i="1"/>
  <c r="AD747" i="1"/>
  <c r="AH746" i="1" l="1"/>
  <c r="AI746" i="1"/>
  <c r="AA747" i="1"/>
  <c r="AH747" i="1" l="1"/>
  <c r="AI747" i="1"/>
  <c r="W747" i="1"/>
  <c r="U747" i="1"/>
  <c r="X747" i="1"/>
  <c r="V747" i="1"/>
  <c r="AF748" i="1" s="1"/>
  <c r="X748" i="1" l="1"/>
  <c r="V748" i="1"/>
  <c r="AF749" i="1" s="1"/>
  <c r="AC748" i="1"/>
  <c r="Z748" i="1"/>
  <c r="AE748" i="1"/>
  <c r="AG748" i="1" s="1"/>
  <c r="Y748" i="1"/>
  <c r="AB748" i="1"/>
  <c r="U748" i="1"/>
  <c r="W748" i="1"/>
  <c r="AE749" i="1" l="1"/>
  <c r="AB749" i="1"/>
  <c r="Y749" i="1"/>
  <c r="AA748" i="1"/>
  <c r="AD748" i="1"/>
  <c r="Z749" i="1"/>
  <c r="AC749" i="1"/>
  <c r="AH748" i="1" l="1"/>
  <c r="AG749" i="1"/>
  <c r="AI748" i="1"/>
  <c r="AA749" i="1"/>
  <c r="AD749" i="1"/>
  <c r="AH749" i="1" l="1"/>
  <c r="AI749" i="1"/>
  <c r="V749" i="1"/>
  <c r="AF750" i="1" s="1"/>
  <c r="X749" i="1"/>
  <c r="U749" i="1"/>
  <c r="W749" i="1"/>
  <c r="X750" i="1" l="1"/>
  <c r="AB750" i="1"/>
  <c r="Y750" i="1"/>
  <c r="AE750" i="1"/>
  <c r="U750" i="1"/>
  <c r="Z750" i="1"/>
  <c r="AC750" i="1"/>
  <c r="V750" i="1"/>
  <c r="AF751" i="1" s="1"/>
  <c r="W750" i="1"/>
  <c r="AG750" i="1" l="1"/>
  <c r="AC751" i="1"/>
  <c r="Z751" i="1"/>
  <c r="AE751" i="1"/>
  <c r="AG751" i="1" s="1"/>
  <c r="AB751" i="1"/>
  <c r="AD751" i="1" s="1"/>
  <c r="Y751" i="1"/>
  <c r="AA750" i="1"/>
  <c r="AD750" i="1"/>
  <c r="AH750" i="1" l="1"/>
  <c r="AI750" i="1"/>
  <c r="X751" i="1" s="1"/>
  <c r="AA751" i="1"/>
  <c r="AI751" i="1" s="1"/>
  <c r="AH751" i="1" l="1"/>
  <c r="X752" i="1"/>
  <c r="V751" i="1"/>
  <c r="AF752" i="1" s="1"/>
  <c r="U751" i="1"/>
  <c r="W751" i="1"/>
  <c r="V752" i="1" l="1"/>
  <c r="AF753" i="1" s="1"/>
  <c r="Z752" i="1"/>
  <c r="AC752" i="1"/>
  <c r="W752" i="1"/>
  <c r="Z753" i="1"/>
  <c r="AC753" i="1"/>
  <c r="Y752" i="1"/>
  <c r="AE752" i="1"/>
  <c r="AG752" i="1" s="1"/>
  <c r="AB752" i="1"/>
  <c r="U752" i="1"/>
  <c r="AD752" i="1" l="1"/>
  <c r="AB753" i="1"/>
  <c r="AD753" i="1" s="1"/>
  <c r="AE753" i="1"/>
  <c r="AG753" i="1" s="1"/>
  <c r="Y753" i="1"/>
  <c r="AA752" i="1"/>
  <c r="AH752" i="1" s="1"/>
  <c r="AI752" i="1" l="1"/>
  <c r="AA753" i="1"/>
  <c r="AH753" i="1" l="1"/>
  <c r="AI753" i="1"/>
  <c r="U753" i="1"/>
  <c r="W753" i="1"/>
  <c r="X753" i="1"/>
  <c r="V753" i="1"/>
  <c r="AF754" i="1" s="1"/>
  <c r="X754" i="1" l="1"/>
  <c r="W754" i="1"/>
  <c r="AB754" i="1"/>
  <c r="AE754" i="1"/>
  <c r="Y754" i="1"/>
  <c r="U754" i="1"/>
  <c r="V754" i="1"/>
  <c r="AF755" i="1" s="1"/>
  <c r="AC754" i="1"/>
  <c r="Z754" i="1"/>
  <c r="AG754" i="1" l="1"/>
  <c r="Y755" i="1"/>
  <c r="AB755" i="1"/>
  <c r="AE755" i="1"/>
  <c r="AA754" i="1"/>
  <c r="AD754" i="1"/>
  <c r="Z755" i="1"/>
  <c r="AC755" i="1"/>
  <c r="AH754" i="1" l="1"/>
  <c r="AG755" i="1"/>
  <c r="AI754" i="1"/>
  <c r="AD755" i="1"/>
  <c r="AA755" i="1"/>
  <c r="AH755" i="1" s="1"/>
  <c r="AI755" i="1" l="1"/>
  <c r="X755" i="1"/>
  <c r="V755" i="1"/>
  <c r="AF756" i="1" s="1"/>
  <c r="W755" i="1"/>
  <c r="U755" i="1"/>
  <c r="V756" i="1" l="1"/>
  <c r="AF757" i="1" s="1"/>
  <c r="W756" i="1"/>
  <c r="Z757" i="1"/>
  <c r="Z756" i="1"/>
  <c r="AC756" i="1"/>
  <c r="AB756" i="1"/>
  <c r="AD756" i="1" s="1"/>
  <c r="Y756" i="1"/>
  <c r="AE756" i="1"/>
  <c r="AG756" i="1" s="1"/>
  <c r="U756" i="1"/>
  <c r="X756" i="1"/>
  <c r="AC757" i="1" l="1"/>
  <c r="AB757" i="1"/>
  <c r="AD757" i="1" s="1"/>
  <c r="AE757" i="1"/>
  <c r="AG757" i="1" s="1"/>
  <c r="Y757" i="1"/>
  <c r="AA756" i="1"/>
  <c r="AH756" i="1" s="1"/>
  <c r="AI756" i="1" l="1"/>
  <c r="AA757" i="1"/>
  <c r="AH757" i="1" l="1"/>
  <c r="AI757" i="1"/>
  <c r="X757" i="1"/>
  <c r="V757" i="1"/>
  <c r="AF758" i="1" s="1"/>
  <c r="W757" i="1"/>
  <c r="U757" i="1"/>
  <c r="W758" i="1" l="1"/>
  <c r="AC758" i="1"/>
  <c r="Z758" i="1"/>
  <c r="X758" i="1"/>
  <c r="AB758" i="1"/>
  <c r="Y758" i="1"/>
  <c r="AE758" i="1"/>
  <c r="AG758" i="1" s="1"/>
  <c r="U758" i="1"/>
  <c r="V758" i="1"/>
  <c r="AF759" i="1" s="1"/>
  <c r="AB759" i="1" l="1"/>
  <c r="AE759" i="1"/>
  <c r="Y759" i="1"/>
  <c r="AC759" i="1"/>
  <c r="AD759" i="1" s="1"/>
  <c r="Z759" i="1"/>
  <c r="AA758" i="1"/>
  <c r="AD758" i="1"/>
  <c r="AH758" i="1" l="1"/>
  <c r="W759" i="1" s="1"/>
  <c r="AG759" i="1"/>
  <c r="AI758" i="1"/>
  <c r="X759" i="1" s="1"/>
  <c r="AA759" i="1"/>
  <c r="AI759" i="1" s="1"/>
  <c r="AH759" i="1" l="1"/>
  <c r="W760" i="1" s="1"/>
  <c r="X760" i="1"/>
  <c r="V759" i="1"/>
  <c r="AF760" i="1" s="1"/>
  <c r="U759" i="1"/>
  <c r="AB760" i="1" s="1"/>
  <c r="AE760" i="1" l="1"/>
  <c r="AG760" i="1" s="1"/>
  <c r="Y760" i="1"/>
  <c r="V760" i="1"/>
  <c r="Z760" i="1"/>
  <c r="AC760" i="1"/>
  <c r="U760" i="1"/>
  <c r="AA760" i="1"/>
  <c r="AD760" i="1"/>
  <c r="Z761" i="1" l="1"/>
  <c r="AF761" i="1"/>
  <c r="AC761" i="1"/>
  <c r="AH760" i="1"/>
  <c r="W761" i="1" s="1"/>
  <c r="AI760" i="1"/>
  <c r="AB761" i="1"/>
  <c r="AD761" i="1" s="1"/>
  <c r="AE761" i="1"/>
  <c r="AG761" i="1" s="1"/>
  <c r="Y761" i="1"/>
  <c r="AA761" i="1" l="1"/>
  <c r="U761" i="1"/>
  <c r="X761" i="1"/>
  <c r="V761" i="1"/>
  <c r="AF762" i="1" s="1"/>
  <c r="AH761" i="1" l="1"/>
  <c r="W762" i="1" s="1"/>
  <c r="AI761" i="1"/>
  <c r="V762" i="1" s="1"/>
  <c r="AF763" i="1" s="1"/>
  <c r="Z762" i="1"/>
  <c r="AC762" i="1"/>
  <c r="Y762" i="1"/>
  <c r="AE762" i="1"/>
  <c r="AG762" i="1" s="1"/>
  <c r="AB762" i="1"/>
  <c r="AD762" i="1" s="1"/>
  <c r="U762" i="1" l="1"/>
  <c r="AC763" i="1"/>
  <c r="Z763" i="1"/>
  <c r="X762" i="1"/>
  <c r="AA762" i="1"/>
  <c r="AH762" i="1" s="1"/>
  <c r="AI762" i="1" l="1"/>
  <c r="X763" i="1" s="1"/>
  <c r="W763" i="1"/>
  <c r="AE763" i="1"/>
  <c r="AG763" i="1" s="1"/>
  <c r="Y763" i="1"/>
  <c r="AB763" i="1"/>
  <c r="AD763" i="1" s="1"/>
  <c r="U763" i="1" l="1"/>
  <c r="AA763" i="1"/>
  <c r="V763" i="1"/>
  <c r="AF764" i="1" s="1"/>
  <c r="AH763" i="1" l="1"/>
  <c r="W764" i="1" s="1"/>
  <c r="AI763" i="1"/>
  <c r="X764" i="1" s="1"/>
  <c r="AC764" i="1"/>
  <c r="Z764" i="1"/>
  <c r="AB764" i="1"/>
  <c r="Y764" i="1"/>
  <c r="AE764" i="1"/>
  <c r="AG764" i="1" s="1"/>
  <c r="U764" i="1" l="1"/>
  <c r="Y765" i="1" s="1"/>
  <c r="V764" i="1"/>
  <c r="AF765" i="1" s="1"/>
  <c r="AA764" i="1"/>
  <c r="AD764" i="1"/>
  <c r="AH764" i="1" l="1"/>
  <c r="AI764" i="1"/>
  <c r="X765" i="1" s="1"/>
  <c r="AE765" i="1"/>
  <c r="AB765" i="1"/>
  <c r="AC765" i="1"/>
  <c r="Z765" i="1"/>
  <c r="AD765" i="1" l="1"/>
  <c r="AG765" i="1"/>
  <c r="AA765" i="1"/>
  <c r="U765" i="1"/>
  <c r="W765" i="1"/>
  <c r="V765" i="1"/>
  <c r="AF766" i="1" s="1"/>
  <c r="AH765" i="1" l="1"/>
  <c r="W766" i="1" s="1"/>
  <c r="AI765" i="1"/>
  <c r="X766" i="1" s="1"/>
  <c r="Z766" i="1"/>
  <c r="AC766" i="1"/>
  <c r="Y766" i="1"/>
  <c r="AE766" i="1"/>
  <c r="AG766" i="1" s="1"/>
  <c r="AB766" i="1"/>
  <c r="AD766" i="1" s="1"/>
  <c r="U766" i="1" l="1"/>
  <c r="V766" i="1"/>
  <c r="AF767" i="1" s="1"/>
  <c r="AA766" i="1"/>
  <c r="AH766" i="1" s="1"/>
  <c r="AI766" i="1" l="1"/>
  <c r="X767" i="1" s="1"/>
  <c r="W767" i="1"/>
  <c r="AC767" i="1"/>
  <c r="Z767" i="1"/>
  <c r="Y767" i="1"/>
  <c r="AB767" i="1"/>
  <c r="AD767" i="1" s="1"/>
  <c r="AE767" i="1"/>
  <c r="AG767" i="1" s="1"/>
  <c r="U767" i="1" l="1"/>
  <c r="Y768" i="1" s="1"/>
  <c r="V767" i="1"/>
  <c r="AF768" i="1" s="1"/>
  <c r="AA767" i="1"/>
  <c r="AH767" i="1" s="1"/>
  <c r="Z768" i="1" l="1"/>
  <c r="AB768" i="1"/>
  <c r="AE768" i="1"/>
  <c r="AI767" i="1"/>
  <c r="AC768" i="1"/>
  <c r="AA768" i="1"/>
  <c r="AD768" i="1"/>
  <c r="AG768" i="1" l="1"/>
  <c r="AH768" i="1" s="1"/>
  <c r="AI768" i="1"/>
  <c r="X768" i="1"/>
  <c r="V768" i="1"/>
  <c r="AF769" i="1" s="1"/>
  <c r="W768" i="1"/>
  <c r="U768" i="1"/>
  <c r="X769" i="1" l="1"/>
  <c r="AC769" i="1"/>
  <c r="Z769" i="1"/>
  <c r="V769" i="1"/>
  <c r="AF770" i="1" s="1"/>
  <c r="AB769" i="1"/>
  <c r="AE769" i="1"/>
  <c r="AG769" i="1" s="1"/>
  <c r="Y769" i="1"/>
  <c r="U769" i="1"/>
  <c r="W769" i="1"/>
  <c r="AA769" i="1" l="1"/>
  <c r="AE770" i="1"/>
  <c r="AB770" i="1"/>
  <c r="Y770" i="1"/>
  <c r="AD769" i="1"/>
  <c r="Z770" i="1"/>
  <c r="AC770" i="1"/>
  <c r="AG770" i="1" l="1"/>
  <c r="AH769" i="1"/>
  <c r="AI769" i="1"/>
  <c r="AD770" i="1"/>
  <c r="AA770" i="1"/>
  <c r="AH770" i="1" l="1"/>
  <c r="AI770" i="1"/>
  <c r="W770" i="1"/>
  <c r="U770" i="1"/>
  <c r="V770" i="1"/>
  <c r="AF771" i="1" s="1"/>
  <c r="X770" i="1"/>
  <c r="X771" i="1" l="1"/>
  <c r="Z771" i="1"/>
  <c r="AC771" i="1"/>
  <c r="V771" i="1"/>
  <c r="AF772" i="1" s="1"/>
  <c r="Y771" i="1"/>
  <c r="AB771" i="1"/>
  <c r="AD771" i="1" s="1"/>
  <c r="AE771" i="1"/>
  <c r="AG771" i="1" s="1"/>
  <c r="U771" i="1"/>
  <c r="W771" i="1"/>
  <c r="AB772" i="1" l="1"/>
  <c r="Y772" i="1"/>
  <c r="AE772" i="1"/>
  <c r="AG772" i="1" s="1"/>
  <c r="AC772" i="1"/>
  <c r="Z772" i="1"/>
  <c r="AA771" i="1"/>
  <c r="AI771" i="1" l="1"/>
  <c r="X772" i="1" s="1"/>
  <c r="AH771" i="1"/>
  <c r="AA772" i="1"/>
  <c r="AD772" i="1"/>
  <c r="AH772" i="1" l="1"/>
  <c r="V772" i="1"/>
  <c r="AF773" i="1" s="1"/>
  <c r="AI772" i="1"/>
  <c r="X773" i="1" s="1"/>
  <c r="U772" i="1"/>
  <c r="W772" i="1"/>
  <c r="Z773" i="1" l="1"/>
  <c r="AC773" i="1"/>
  <c r="AE773" i="1"/>
  <c r="AG773" i="1" s="1"/>
  <c r="U773" i="1"/>
  <c r="AB773" i="1"/>
  <c r="AD773" i="1" s="1"/>
  <c r="Y773" i="1"/>
  <c r="W773" i="1"/>
  <c r="V773" i="1"/>
  <c r="AF774" i="1" s="1"/>
  <c r="AC774" i="1" l="1"/>
  <c r="Z774" i="1"/>
  <c r="AA773" i="1"/>
  <c r="Y774" i="1"/>
  <c r="AE774" i="1"/>
  <c r="AG774" i="1" s="1"/>
  <c r="AB774" i="1"/>
  <c r="AD774" i="1" l="1"/>
  <c r="AH773" i="1"/>
  <c r="AI773" i="1"/>
  <c r="AA774" i="1"/>
  <c r="AH774" i="1" s="1"/>
  <c r="AI774" i="1" l="1"/>
  <c r="U774" i="1"/>
  <c r="W774" i="1"/>
  <c r="V774" i="1"/>
  <c r="AF775" i="1" s="1"/>
  <c r="X774" i="1"/>
  <c r="X775" i="1" l="1"/>
  <c r="Z775" i="1"/>
  <c r="AC775" i="1"/>
  <c r="V775" i="1"/>
  <c r="AF776" i="1" s="1"/>
  <c r="W775" i="1"/>
  <c r="Y775" i="1"/>
  <c r="AB775" i="1"/>
  <c r="AE775" i="1"/>
  <c r="AG775" i="1" s="1"/>
  <c r="U775" i="1"/>
  <c r="AE776" i="1" l="1"/>
  <c r="Y776" i="1"/>
  <c r="AB776" i="1"/>
  <c r="Z776" i="1"/>
  <c r="AC776" i="1"/>
  <c r="AD775" i="1"/>
  <c r="AA775" i="1"/>
  <c r="AH775" i="1" l="1"/>
  <c r="AD776" i="1"/>
  <c r="AG776" i="1"/>
  <c r="AI775" i="1"/>
  <c r="AA776" i="1"/>
  <c r="AI776" i="1" s="1"/>
  <c r="AH776" i="1" l="1"/>
  <c r="W776" i="1"/>
  <c r="U776" i="1"/>
  <c r="X776" i="1"/>
  <c r="X777" i="1" s="1"/>
  <c r="V776" i="1"/>
  <c r="AF777" i="1" s="1"/>
  <c r="Y777" i="1" l="1"/>
  <c r="AB777" i="1"/>
  <c r="AE777" i="1"/>
  <c r="U777" i="1"/>
  <c r="W777" i="1"/>
  <c r="Z777" i="1"/>
  <c r="AC777" i="1"/>
  <c r="V777" i="1"/>
  <c r="AF778" i="1" s="1"/>
  <c r="AG777" i="1" l="1"/>
  <c r="Z778" i="1"/>
  <c r="AC778" i="1"/>
  <c r="AD777" i="1"/>
  <c r="AA777" i="1"/>
  <c r="Y778" i="1"/>
  <c r="AE778" i="1"/>
  <c r="AG778" i="1" s="1"/>
  <c r="AB778" i="1"/>
  <c r="AD778" i="1" s="1"/>
  <c r="AH777" i="1" l="1"/>
  <c r="U778" i="1" s="1"/>
  <c r="AI777" i="1"/>
  <c r="AA778" i="1"/>
  <c r="AI778" i="1" s="1"/>
  <c r="W778" i="1" l="1"/>
  <c r="AH778" i="1"/>
  <c r="W779" i="1" s="1"/>
  <c r="V778" i="1"/>
  <c r="AF779" i="1" s="1"/>
  <c r="X778" i="1"/>
  <c r="X779" i="1" s="1"/>
  <c r="Y779" i="1"/>
  <c r="AB779" i="1"/>
  <c r="AE779" i="1"/>
  <c r="Z779" i="1" l="1"/>
  <c r="AC779" i="1"/>
  <c r="AD779" i="1" s="1"/>
  <c r="AG779" i="1"/>
  <c r="V779" i="1"/>
  <c r="AF780" i="1" s="1"/>
  <c r="U779" i="1"/>
  <c r="AA779" i="1"/>
  <c r="AH779" i="1" l="1"/>
  <c r="W780" i="1" s="1"/>
  <c r="AI779" i="1"/>
  <c r="X780" i="1" s="1"/>
  <c r="AE780" i="1"/>
  <c r="AB780" i="1"/>
  <c r="Y780" i="1"/>
  <c r="AC780" i="1"/>
  <c r="Z780" i="1"/>
  <c r="AG780" i="1" l="1"/>
  <c r="AA780" i="1"/>
  <c r="AD780" i="1"/>
  <c r="V780" i="1"/>
  <c r="AF781" i="1" s="1"/>
  <c r="U780" i="1"/>
  <c r="AH780" i="1" l="1"/>
  <c r="W781" i="1" s="1"/>
  <c r="AI780" i="1"/>
  <c r="X781" i="1" s="1"/>
  <c r="Z781" i="1"/>
  <c r="AC781" i="1"/>
  <c r="AB781" i="1"/>
  <c r="AD781" i="1" s="1"/>
  <c r="Y781" i="1"/>
  <c r="AE781" i="1"/>
  <c r="AG781" i="1" s="1"/>
  <c r="V781" i="1" l="1"/>
  <c r="AF782" i="1" s="1"/>
  <c r="AA781" i="1"/>
  <c r="AH781" i="1" s="1"/>
  <c r="U781" i="1"/>
  <c r="AC782" i="1" l="1"/>
  <c r="AI781" i="1"/>
  <c r="Z782" i="1"/>
  <c r="AE782" i="1"/>
  <c r="AG782" i="1" s="1"/>
  <c r="Y782" i="1"/>
  <c r="AB782" i="1"/>
  <c r="AD782" i="1" s="1"/>
  <c r="W782" i="1"/>
  <c r="X782" i="1" l="1"/>
  <c r="V782" i="1"/>
  <c r="AF783" i="1" s="1"/>
  <c r="U782" i="1"/>
  <c r="AA782" i="1"/>
  <c r="AH782" i="1" s="1"/>
  <c r="AI782" i="1" l="1"/>
  <c r="V783" i="1" s="1"/>
  <c r="AF784" i="1" s="1"/>
  <c r="W783" i="1"/>
  <c r="AE783" i="1"/>
  <c r="AB783" i="1"/>
  <c r="Y783" i="1"/>
  <c r="Z783" i="1"/>
  <c r="AC783" i="1"/>
  <c r="AG783" i="1" l="1"/>
  <c r="X783" i="1"/>
  <c r="U783" i="1"/>
  <c r="AA783" i="1"/>
  <c r="AD783" i="1"/>
  <c r="AC784" i="1"/>
  <c r="Z784" i="1"/>
  <c r="AH783" i="1" l="1"/>
  <c r="W784" i="1" s="1"/>
  <c r="AI783" i="1"/>
  <c r="AB784" i="1"/>
  <c r="AD784" i="1" s="1"/>
  <c r="Y784" i="1"/>
  <c r="AE784" i="1"/>
  <c r="AG784" i="1" s="1"/>
  <c r="AA784" i="1" l="1"/>
  <c r="U784" i="1"/>
  <c r="X784" i="1"/>
  <c r="V784" i="1"/>
  <c r="AF785" i="1" s="1"/>
  <c r="AH784" i="1" l="1"/>
  <c r="W785" i="1" s="1"/>
  <c r="AI784" i="1"/>
  <c r="X785" i="1" s="1"/>
  <c r="Z785" i="1"/>
  <c r="AC785" i="1"/>
  <c r="AB785" i="1"/>
  <c r="AE785" i="1"/>
  <c r="AG785" i="1" s="1"/>
  <c r="Y785" i="1"/>
  <c r="AD785" i="1" l="1"/>
  <c r="U785" i="1"/>
  <c r="AA785" i="1"/>
  <c r="AH785" i="1" s="1"/>
  <c r="V785" i="1"/>
  <c r="AF786" i="1" s="1"/>
  <c r="AI785" i="1" l="1"/>
  <c r="X786" i="1" s="1"/>
  <c r="AE786" i="1"/>
  <c r="AB786" i="1"/>
  <c r="Y786" i="1"/>
  <c r="Z786" i="1"/>
  <c r="AC786" i="1"/>
  <c r="W786" i="1"/>
  <c r="AG786" i="1" l="1"/>
  <c r="V786" i="1"/>
  <c r="AF787" i="1" s="1"/>
  <c r="U786" i="1"/>
  <c r="AA786" i="1"/>
  <c r="AD786" i="1"/>
  <c r="AH786" i="1" l="1"/>
  <c r="W787" i="1" s="1"/>
  <c r="AI786" i="1"/>
  <c r="X787" i="1" s="1"/>
  <c r="AE787" i="1"/>
  <c r="AB787" i="1"/>
  <c r="Y787" i="1"/>
  <c r="AC787" i="1"/>
  <c r="Z787" i="1"/>
  <c r="AG787" i="1" l="1"/>
  <c r="V787" i="1"/>
  <c r="AF788" i="1" s="1"/>
  <c r="U787" i="1"/>
  <c r="AA787" i="1"/>
  <c r="AD787" i="1"/>
  <c r="AC788" i="1"/>
  <c r="Z788" i="1"/>
  <c r="AH787" i="1" l="1"/>
  <c r="W788" i="1" s="1"/>
  <c r="AI787" i="1"/>
  <c r="AB788" i="1"/>
  <c r="AD788" i="1" s="1"/>
  <c r="Y788" i="1"/>
  <c r="AE788" i="1"/>
  <c r="AG788" i="1" s="1"/>
  <c r="U788" i="1" l="1"/>
  <c r="AE789" i="1" s="1"/>
  <c r="AA788" i="1"/>
  <c r="X788" i="1"/>
  <c r="V788" i="1"/>
  <c r="AF789" i="1" s="1"/>
  <c r="AH788" i="1" l="1"/>
  <c r="AI788" i="1"/>
  <c r="X789" i="1" s="1"/>
  <c r="Y789" i="1"/>
  <c r="AB789" i="1"/>
  <c r="Z789" i="1"/>
  <c r="AA789" i="1" s="1"/>
  <c r="AG789" i="1"/>
  <c r="AC789" i="1"/>
  <c r="AD789" i="1" l="1"/>
  <c r="AH789" i="1" s="1"/>
  <c r="W789" i="1"/>
  <c r="U789" i="1"/>
  <c r="V789" i="1"/>
  <c r="AF790" i="1" s="1"/>
  <c r="AI789" i="1" l="1"/>
  <c r="X790" i="1" s="1"/>
  <c r="AC790" i="1"/>
  <c r="Z790" i="1"/>
  <c r="AE790" i="1"/>
  <c r="AG790" i="1" s="1"/>
  <c r="AB790" i="1"/>
  <c r="AD790" i="1" s="1"/>
  <c r="Y790" i="1"/>
  <c r="U790" i="1"/>
  <c r="W790" i="1"/>
  <c r="V790" i="1" l="1"/>
  <c r="AF791" i="1" s="1"/>
  <c r="AA790" i="1"/>
  <c r="AH790" i="1" s="1"/>
  <c r="AB791" i="1"/>
  <c r="Y791" i="1"/>
  <c r="AE791" i="1"/>
  <c r="Z791" i="1"/>
  <c r="AC791" i="1"/>
  <c r="AD791" i="1" s="1"/>
  <c r="AG791" i="1" l="1"/>
  <c r="AI790" i="1"/>
  <c r="AA791" i="1"/>
  <c r="AI791" i="1" s="1"/>
  <c r="U791" i="1"/>
  <c r="AH791" i="1" l="1"/>
  <c r="AB792" i="1"/>
  <c r="Y792" i="1"/>
  <c r="AE792" i="1"/>
  <c r="X791" i="1"/>
  <c r="X792" i="1" s="1"/>
  <c r="V791" i="1"/>
  <c r="AF792" i="1" s="1"/>
  <c r="W791" i="1"/>
  <c r="W792" i="1" l="1"/>
  <c r="U792" i="1"/>
  <c r="AC792" i="1"/>
  <c r="AG792" i="1"/>
  <c r="Z792" i="1"/>
  <c r="V792" i="1"/>
  <c r="AF793" i="1" s="1"/>
  <c r="AA792" i="1"/>
  <c r="AD792" i="1"/>
  <c r="AH792" i="1" l="1"/>
  <c r="W793" i="1" s="1"/>
  <c r="AI792" i="1"/>
  <c r="X793" i="1" s="1"/>
  <c r="AC793" i="1"/>
  <c r="Z793" i="1"/>
  <c r="Y793" i="1"/>
  <c r="AB793" i="1"/>
  <c r="AE793" i="1"/>
  <c r="AG793" i="1" s="1"/>
  <c r="AA793" i="1" l="1"/>
  <c r="U793" i="1"/>
  <c r="V793" i="1"/>
  <c r="AF794" i="1" s="1"/>
  <c r="AD793" i="1"/>
  <c r="AH793" i="1" l="1"/>
  <c r="W794" i="1" s="1"/>
  <c r="AI793" i="1"/>
  <c r="X794" i="1" s="1"/>
  <c r="Z794" i="1"/>
  <c r="AC794" i="1"/>
  <c r="AE794" i="1"/>
  <c r="AG794" i="1" s="1"/>
  <c r="AB794" i="1"/>
  <c r="Y794" i="1"/>
  <c r="AD794" i="1" l="1"/>
  <c r="V794" i="1"/>
  <c r="AF795" i="1" s="1"/>
  <c r="U794" i="1"/>
  <c r="AA794" i="1"/>
  <c r="AI794" i="1" s="1"/>
  <c r="AC795" i="1"/>
  <c r="Z795" i="1" l="1"/>
  <c r="AH794" i="1"/>
  <c r="W795" i="1" s="1"/>
  <c r="X795" i="1"/>
  <c r="AE795" i="1"/>
  <c r="AG795" i="1" s="1"/>
  <c r="Y795" i="1"/>
  <c r="AB795" i="1"/>
  <c r="AD795" i="1" s="1"/>
  <c r="U795" i="1" l="1"/>
  <c r="AE796" i="1" s="1"/>
  <c r="V795" i="1"/>
  <c r="AF796" i="1" s="1"/>
  <c r="AA795" i="1"/>
  <c r="Z796" i="1" l="1"/>
  <c r="AC796" i="1"/>
  <c r="AG796" i="1"/>
  <c r="AB796" i="1"/>
  <c r="AD796" i="1" s="1"/>
  <c r="Y796" i="1"/>
  <c r="AH795" i="1"/>
  <c r="AI795" i="1"/>
  <c r="AA796" i="1"/>
  <c r="AI796" i="1" s="1"/>
  <c r="AH796" i="1" l="1"/>
  <c r="X796" i="1"/>
  <c r="X797" i="1" s="1"/>
  <c r="V796" i="1"/>
  <c r="AF797" i="1" s="1"/>
  <c r="W796" i="1"/>
  <c r="U796" i="1"/>
  <c r="AE797" i="1" l="1"/>
  <c r="AB797" i="1"/>
  <c r="Y797" i="1"/>
  <c r="U797" i="1"/>
  <c r="W797" i="1"/>
  <c r="AC797" i="1"/>
  <c r="AD797" i="1" s="1"/>
  <c r="Z797" i="1"/>
  <c r="V797" i="1"/>
  <c r="AF798" i="1" s="1"/>
  <c r="AG797" i="1" l="1"/>
  <c r="AB798" i="1"/>
  <c r="AE798" i="1"/>
  <c r="Y798" i="1"/>
  <c r="AA797" i="1"/>
  <c r="Z798" i="1"/>
  <c r="AC798" i="1"/>
  <c r="AG798" i="1" l="1"/>
  <c r="AI797" i="1"/>
  <c r="X798" i="1" s="1"/>
  <c r="AH797" i="1"/>
  <c r="AA798" i="1"/>
  <c r="AD798" i="1"/>
  <c r="AH798" i="1" l="1"/>
  <c r="V798" i="1"/>
  <c r="AF799" i="1" s="1"/>
  <c r="AI798" i="1"/>
  <c r="AC799" i="1"/>
  <c r="W798" i="1"/>
  <c r="U798" i="1"/>
  <c r="Z799" i="1" l="1"/>
  <c r="V799" i="1"/>
  <c r="AF800" i="1" s="1"/>
  <c r="X799" i="1"/>
  <c r="AB799" i="1"/>
  <c r="AD799" i="1" s="1"/>
  <c r="AE799" i="1"/>
  <c r="AG799" i="1" s="1"/>
  <c r="Y799" i="1"/>
  <c r="U799" i="1"/>
  <c r="W799" i="1"/>
  <c r="AC800" i="1"/>
  <c r="Z800" i="1"/>
  <c r="AB800" i="1" l="1"/>
  <c r="AD800" i="1" s="1"/>
  <c r="AE800" i="1"/>
  <c r="AG800" i="1" s="1"/>
  <c r="Y800" i="1"/>
  <c r="AA799" i="1"/>
  <c r="AH799" i="1" l="1"/>
  <c r="AI799" i="1"/>
  <c r="AA800" i="1"/>
  <c r="AH800" i="1" l="1"/>
  <c r="AI800" i="1"/>
  <c r="X800" i="1"/>
  <c r="V800" i="1"/>
  <c r="AF801" i="1" s="1"/>
  <c r="W800" i="1"/>
  <c r="U800" i="1"/>
  <c r="X801" i="1" l="1"/>
  <c r="AB801" i="1"/>
  <c r="AE801" i="1"/>
  <c r="Y801" i="1"/>
  <c r="U801" i="1"/>
  <c r="AC801" i="1"/>
  <c r="AD801" i="1" s="1"/>
  <c r="Z801" i="1"/>
  <c r="V801" i="1"/>
  <c r="AF802" i="1" s="1"/>
  <c r="W801" i="1"/>
  <c r="AG801" i="1" l="1"/>
  <c r="Y802" i="1"/>
  <c r="AE802" i="1"/>
  <c r="AB802" i="1"/>
  <c r="AA801" i="1"/>
  <c r="AH801" i="1" s="1"/>
  <c r="AC802" i="1"/>
  <c r="Z802" i="1"/>
  <c r="AG802" i="1" l="1"/>
  <c r="AI801" i="1"/>
  <c r="AA802" i="1"/>
  <c r="AD802" i="1"/>
  <c r="AH802" i="1" l="1"/>
  <c r="AI802" i="1"/>
  <c r="X802" i="1"/>
  <c r="V802" i="1"/>
  <c r="AF803" i="1" s="1"/>
  <c r="W802" i="1"/>
  <c r="U802" i="1"/>
  <c r="U803" i="1" l="1"/>
  <c r="Y803" i="1"/>
  <c r="AB803" i="1"/>
  <c r="AE803" i="1"/>
  <c r="W803" i="1"/>
  <c r="AC803" i="1"/>
  <c r="Z803" i="1"/>
  <c r="V803" i="1"/>
  <c r="AF804" i="1" s="1"/>
  <c r="X803" i="1"/>
  <c r="AG803" i="1" l="1"/>
  <c r="AD803" i="1"/>
  <c r="AA803" i="1"/>
  <c r="AI803" i="1" s="1"/>
  <c r="Z804" i="1"/>
  <c r="AC804" i="1"/>
  <c r="AE804" i="1"/>
  <c r="AG804" i="1" s="1"/>
  <c r="AB804" i="1"/>
  <c r="Y804" i="1"/>
  <c r="AH803" i="1" l="1"/>
  <c r="V804" i="1"/>
  <c r="AF805" i="1" s="1"/>
  <c r="X804" i="1"/>
  <c r="AA804" i="1"/>
  <c r="AD804" i="1"/>
  <c r="AH804" i="1" l="1"/>
  <c r="AI804" i="1"/>
  <c r="X805" i="1" s="1"/>
  <c r="U804" i="1"/>
  <c r="W804" i="1"/>
  <c r="AC805" i="1"/>
  <c r="Z805" i="1"/>
  <c r="V805" i="1" l="1"/>
  <c r="AF806" i="1" s="1"/>
  <c r="W805" i="1"/>
  <c r="AE805" i="1"/>
  <c r="AG805" i="1" s="1"/>
  <c r="Y805" i="1"/>
  <c r="AB805" i="1"/>
  <c r="AD805" i="1" s="1"/>
  <c r="U805" i="1"/>
  <c r="AC806" i="1" l="1"/>
  <c r="Z806" i="1"/>
  <c r="AA805" i="1"/>
  <c r="AE806" i="1"/>
  <c r="AG806" i="1" s="1"/>
  <c r="Y806" i="1"/>
  <c r="AB806" i="1"/>
  <c r="AD806" i="1" s="1"/>
  <c r="AH805" i="1" l="1"/>
  <c r="AI805" i="1"/>
  <c r="AA806" i="1"/>
  <c r="AH806" i="1" s="1"/>
  <c r="AI806" i="1" l="1"/>
  <c r="U806" i="1"/>
  <c r="W806" i="1"/>
  <c r="V806" i="1"/>
  <c r="AF807" i="1" s="1"/>
  <c r="X806" i="1"/>
  <c r="X807" i="1" l="1"/>
  <c r="AC807" i="1"/>
  <c r="Z807" i="1"/>
  <c r="V807" i="1"/>
  <c r="AF808" i="1" s="1"/>
  <c r="W807" i="1"/>
  <c r="U807" i="1"/>
  <c r="AE807" i="1"/>
  <c r="AG807" i="1" s="1"/>
  <c r="AB807" i="1"/>
  <c r="AD807" i="1" s="1"/>
  <c r="Y807" i="1"/>
  <c r="AA807" i="1" l="1"/>
  <c r="Z808" i="1"/>
  <c r="AC808" i="1"/>
  <c r="AE808" i="1"/>
  <c r="AG808" i="1" s="1"/>
  <c r="AB808" i="1"/>
  <c r="Y808" i="1"/>
  <c r="AD808" i="1" l="1"/>
  <c r="AI807" i="1"/>
  <c r="X808" i="1" s="1"/>
  <c r="AH807" i="1"/>
  <c r="AA808" i="1"/>
  <c r="AH808" i="1" s="1"/>
  <c r="V808" i="1" l="1"/>
  <c r="AF809" i="1" s="1"/>
  <c r="AI808" i="1"/>
  <c r="X809" i="1" s="1"/>
  <c r="W808" i="1"/>
  <c r="U808" i="1"/>
  <c r="Z809" i="1"/>
  <c r="AC809" i="1"/>
  <c r="V809" i="1" l="1"/>
  <c r="AF810" i="1" s="1"/>
  <c r="U809" i="1"/>
  <c r="AE809" i="1"/>
  <c r="AG809" i="1" s="1"/>
  <c r="AB809" i="1"/>
  <c r="AD809" i="1" s="1"/>
  <c r="Y809" i="1"/>
  <c r="W809" i="1"/>
  <c r="AA809" i="1" l="1"/>
  <c r="AC810" i="1"/>
  <c r="Z810" i="1"/>
  <c r="AE810" i="1"/>
  <c r="AG810" i="1" s="1"/>
  <c r="Y810" i="1"/>
  <c r="AB810" i="1"/>
  <c r="AD810" i="1" s="1"/>
  <c r="AH809" i="1" l="1"/>
  <c r="W810" i="1" s="1"/>
  <c r="AI809" i="1"/>
  <c r="AA810" i="1"/>
  <c r="AH810" i="1" s="1"/>
  <c r="U810" i="1" l="1"/>
  <c r="AI810" i="1"/>
  <c r="V810" i="1"/>
  <c r="AF811" i="1" s="1"/>
  <c r="X810" i="1"/>
  <c r="Y811" i="1"/>
  <c r="AB811" i="1"/>
  <c r="AE811" i="1"/>
  <c r="W811" i="1"/>
  <c r="X811" i="1" l="1"/>
  <c r="U811" i="1"/>
  <c r="Z811" i="1"/>
  <c r="AG811" i="1"/>
  <c r="AC811" i="1"/>
  <c r="AD811" i="1" s="1"/>
  <c r="V811" i="1"/>
  <c r="AF812" i="1" s="1"/>
  <c r="AA811" i="1" l="1"/>
  <c r="AH811" i="1" s="1"/>
  <c r="Z812" i="1"/>
  <c r="AC812" i="1"/>
  <c r="AB812" i="1"/>
  <c r="AD812" i="1" s="1"/>
  <c r="Y812" i="1"/>
  <c r="AE812" i="1"/>
  <c r="AG812" i="1" s="1"/>
  <c r="AI811" i="1" l="1"/>
  <c r="AA812" i="1"/>
  <c r="AI812" i="1" s="1"/>
  <c r="AH812" i="1" l="1"/>
  <c r="V812" i="1"/>
  <c r="AF813" i="1" s="1"/>
  <c r="X812" i="1"/>
  <c r="W812" i="1"/>
  <c r="U812" i="1"/>
  <c r="Y813" i="1" l="1"/>
  <c r="AE813" i="1"/>
  <c r="AB813" i="1"/>
  <c r="U813" i="1"/>
  <c r="W813" i="1"/>
  <c r="V813" i="1"/>
  <c r="AF814" i="1" s="1"/>
  <c r="X813" i="1"/>
  <c r="Z813" i="1"/>
  <c r="AC813" i="1"/>
  <c r="AD813" i="1" l="1"/>
  <c r="AG813" i="1"/>
  <c r="Z814" i="1"/>
  <c r="AC814" i="1"/>
  <c r="Y814" i="1"/>
  <c r="AE814" i="1"/>
  <c r="AG814" i="1" s="1"/>
  <c r="AB814" i="1"/>
  <c r="AD814" i="1" s="1"/>
  <c r="AA813" i="1"/>
  <c r="AH813" i="1" s="1"/>
  <c r="AI813" i="1" l="1"/>
  <c r="AA814" i="1"/>
  <c r="AH814" i="1" s="1"/>
  <c r="AI814" i="1" l="1"/>
  <c r="V814" i="1"/>
  <c r="AF815" i="1" s="1"/>
  <c r="X814" i="1"/>
  <c r="U814" i="1"/>
  <c r="W814" i="1"/>
  <c r="X815" i="1" l="1"/>
  <c r="W815" i="1"/>
  <c r="Y815" i="1"/>
  <c r="AB815" i="1"/>
  <c r="AE815" i="1"/>
  <c r="U815" i="1"/>
  <c r="AC815" i="1"/>
  <c r="Z815" i="1"/>
  <c r="V815" i="1"/>
  <c r="AF816" i="1" s="1"/>
  <c r="AG815" i="1" l="1"/>
  <c r="AC816" i="1"/>
  <c r="Z816" i="1"/>
  <c r="Y816" i="1"/>
  <c r="AB816" i="1"/>
  <c r="AD816" i="1" s="1"/>
  <c r="AE816" i="1"/>
  <c r="AG816" i="1" s="1"/>
  <c r="AD815" i="1"/>
  <c r="AA815" i="1"/>
  <c r="AH815" i="1" l="1"/>
  <c r="U816" i="1" s="1"/>
  <c r="AB817" i="1" s="1"/>
  <c r="AI815" i="1"/>
  <c r="V816" i="1" s="1"/>
  <c r="AF817" i="1" s="1"/>
  <c r="AA816" i="1"/>
  <c r="AH816" i="1" s="1"/>
  <c r="AI816" i="1" l="1"/>
  <c r="X817" i="1" s="1"/>
  <c r="X816" i="1"/>
  <c r="W816" i="1"/>
  <c r="W817" i="1" s="1"/>
  <c r="Y817" i="1"/>
  <c r="AE817" i="1"/>
  <c r="AC817" i="1"/>
  <c r="AD817" i="1" s="1"/>
  <c r="Z817" i="1"/>
  <c r="AG817" i="1" l="1"/>
  <c r="AA817" i="1"/>
  <c r="V817" i="1"/>
  <c r="AF818" i="1" s="1"/>
  <c r="U817" i="1"/>
  <c r="AI817" i="1" l="1"/>
  <c r="X818" i="1" s="1"/>
  <c r="Z818" i="1"/>
  <c r="AH817" i="1"/>
  <c r="W818" i="1" s="1"/>
  <c r="AC818" i="1"/>
  <c r="AE818" i="1"/>
  <c r="AG818" i="1" s="1"/>
  <c r="Y818" i="1"/>
  <c r="AB818" i="1"/>
  <c r="AD818" i="1" s="1"/>
  <c r="V818" i="1" l="1"/>
  <c r="AF819" i="1" s="1"/>
  <c r="U818" i="1"/>
  <c r="AA818" i="1"/>
  <c r="AB819" i="1"/>
  <c r="AE819" i="1"/>
  <c r="AG819" i="1" s="1"/>
  <c r="Y819" i="1"/>
  <c r="AC819" i="1"/>
  <c r="AD819" i="1" s="1"/>
  <c r="Z819" i="1"/>
  <c r="AH818" i="1" l="1"/>
  <c r="AI818" i="1"/>
  <c r="AA819" i="1"/>
  <c r="AI819" i="1" s="1"/>
  <c r="AH819" i="1" l="1"/>
  <c r="W819" i="1"/>
  <c r="U819" i="1"/>
  <c r="X819" i="1"/>
  <c r="X820" i="1" s="1"/>
  <c r="V819" i="1"/>
  <c r="AF820" i="1" s="1"/>
  <c r="Z820" i="1" l="1"/>
  <c r="AC820" i="1"/>
  <c r="V820" i="1"/>
  <c r="AF821" i="1" s="1"/>
  <c r="AE820" i="1"/>
  <c r="AG820" i="1" s="1"/>
  <c r="Y820" i="1"/>
  <c r="AB820" i="1"/>
  <c r="AD820" i="1" s="1"/>
  <c r="U820" i="1"/>
  <c r="W820" i="1"/>
  <c r="Z821" i="1" l="1"/>
  <c r="AC821" i="1"/>
  <c r="AA820" i="1"/>
  <c r="AH820" i="1" s="1"/>
  <c r="AB821" i="1"/>
  <c r="AD821" i="1" s="1"/>
  <c r="Y821" i="1"/>
  <c r="AE821" i="1"/>
  <c r="AG821" i="1" s="1"/>
  <c r="AI820" i="1" l="1"/>
  <c r="AA821" i="1"/>
  <c r="AH821" i="1" s="1"/>
  <c r="AI821" i="1" l="1"/>
  <c r="X821" i="1"/>
  <c r="V821" i="1"/>
  <c r="AF822" i="1" s="1"/>
  <c r="W821" i="1"/>
  <c r="U821" i="1"/>
  <c r="X822" i="1" l="1"/>
  <c r="V822" i="1"/>
  <c r="AF823" i="1" s="1"/>
  <c r="W822" i="1"/>
  <c r="AB822" i="1"/>
  <c r="AE822" i="1"/>
  <c r="Y822" i="1"/>
  <c r="U822" i="1"/>
  <c r="Z822" i="1"/>
  <c r="AC822" i="1"/>
  <c r="Z823" i="1" l="1"/>
  <c r="AG822" i="1"/>
  <c r="AC823" i="1"/>
  <c r="AA822" i="1"/>
  <c r="AD822" i="1"/>
  <c r="Y823" i="1"/>
  <c r="AB823" i="1"/>
  <c r="AD823" i="1" s="1"/>
  <c r="AE823" i="1"/>
  <c r="AG823" i="1" s="1"/>
  <c r="AH822" i="1" l="1"/>
  <c r="AI822" i="1"/>
  <c r="AA823" i="1"/>
  <c r="AH823" i="1" l="1"/>
  <c r="AI823" i="1"/>
  <c r="U823" i="1"/>
  <c r="W823" i="1"/>
  <c r="X823" i="1"/>
  <c r="V823" i="1"/>
  <c r="AF824" i="1" s="1"/>
  <c r="X824" i="1" l="1"/>
  <c r="AC824" i="1"/>
  <c r="Z824" i="1"/>
  <c r="V824" i="1"/>
  <c r="AF825" i="1" s="1"/>
  <c r="W824" i="1"/>
  <c r="AB824" i="1"/>
  <c r="AD824" i="1" s="1"/>
  <c r="AE824" i="1"/>
  <c r="AG824" i="1" s="1"/>
  <c r="Y824" i="1"/>
  <c r="U824" i="1"/>
  <c r="AE825" i="1" l="1"/>
  <c r="Y825" i="1"/>
  <c r="AB825" i="1"/>
  <c r="AA824" i="1"/>
  <c r="AH824" i="1" s="1"/>
  <c r="AC825" i="1"/>
  <c r="AD825" i="1" s="1"/>
  <c r="Z825" i="1"/>
  <c r="AG825" i="1" l="1"/>
  <c r="AI824" i="1"/>
  <c r="AA825" i="1"/>
  <c r="AH825" i="1" s="1"/>
  <c r="AI825" i="1" l="1"/>
  <c r="X825" i="1"/>
  <c r="V825" i="1"/>
  <c r="AF826" i="1" s="1"/>
  <c r="W825" i="1"/>
  <c r="U825" i="1"/>
  <c r="Z826" i="1" l="1"/>
  <c r="AC826" i="1"/>
  <c r="V826" i="1"/>
  <c r="AF827" i="1" s="1"/>
  <c r="Y826" i="1"/>
  <c r="AB826" i="1"/>
  <c r="AE826" i="1"/>
  <c r="AG826" i="1" s="1"/>
  <c r="U826" i="1"/>
  <c r="X826" i="1"/>
  <c r="W826" i="1"/>
  <c r="AD826" i="1" l="1"/>
  <c r="Z827" i="1"/>
  <c r="AC827" i="1"/>
  <c r="Y827" i="1"/>
  <c r="AE827" i="1"/>
  <c r="AG827" i="1" s="1"/>
  <c r="AB827" i="1"/>
  <c r="AD827" i="1" s="1"/>
  <c r="AA826" i="1"/>
  <c r="AH826" i="1" s="1"/>
  <c r="AI826" i="1" l="1"/>
  <c r="X827" i="1" s="1"/>
  <c r="W827" i="1"/>
  <c r="AA827" i="1"/>
  <c r="AI827" i="1" l="1"/>
  <c r="X828" i="1" s="1"/>
  <c r="AH827" i="1"/>
  <c r="W828" i="1" s="1"/>
  <c r="V827" i="1"/>
  <c r="AF828" i="1" s="1"/>
  <c r="U827" i="1"/>
  <c r="Y828" i="1" s="1"/>
  <c r="Z828" i="1" l="1"/>
  <c r="AC828" i="1"/>
  <c r="V828" i="1"/>
  <c r="AF829" i="1" s="1"/>
  <c r="AB828" i="1"/>
  <c r="AE828" i="1"/>
  <c r="AG828" i="1" s="1"/>
  <c r="U828" i="1"/>
  <c r="AD828" i="1"/>
  <c r="AA828" i="1"/>
  <c r="AI828" i="1" s="1"/>
  <c r="AC829" i="1" l="1"/>
  <c r="Z829" i="1"/>
  <c r="AH828" i="1"/>
  <c r="W829" i="1" s="1"/>
  <c r="X829" i="1"/>
  <c r="V829" i="1"/>
  <c r="AF830" i="1" s="1"/>
  <c r="AE829" i="1"/>
  <c r="AG829" i="1" s="1"/>
  <c r="AB829" i="1"/>
  <c r="Y829" i="1"/>
  <c r="AD829" i="1" l="1"/>
  <c r="AA829" i="1"/>
  <c r="U829" i="1"/>
  <c r="Z830" i="1"/>
  <c r="AC830" i="1"/>
  <c r="AH829" i="1" l="1"/>
  <c r="W830" i="1" s="1"/>
  <c r="AI829" i="1"/>
  <c r="Y830" i="1"/>
  <c r="AB830" i="1"/>
  <c r="AD830" i="1" s="1"/>
  <c r="AE830" i="1"/>
  <c r="AG830" i="1" s="1"/>
  <c r="U830" i="1" l="1"/>
  <c r="V830" i="1"/>
  <c r="AF831" i="1" s="1"/>
  <c r="X830" i="1"/>
  <c r="AA830" i="1"/>
  <c r="AH830" i="1" l="1"/>
  <c r="W831" i="1" s="1"/>
  <c r="AI830" i="1"/>
  <c r="X831" i="1" s="1"/>
  <c r="Z831" i="1"/>
  <c r="AC831" i="1"/>
  <c r="AE831" i="1"/>
  <c r="AG831" i="1" s="1"/>
  <c r="Y831" i="1"/>
  <c r="AB831" i="1"/>
  <c r="V831" i="1" l="1"/>
  <c r="AF832" i="1" s="1"/>
  <c r="AD831" i="1"/>
  <c r="AA831" i="1"/>
  <c r="AH831" i="1" s="1"/>
  <c r="U831" i="1"/>
  <c r="AI831" i="1" l="1"/>
  <c r="X832" i="1" s="1"/>
  <c r="Y832" i="1"/>
  <c r="AE832" i="1"/>
  <c r="AB832" i="1"/>
  <c r="AC832" i="1"/>
  <c r="Z832" i="1"/>
  <c r="W832" i="1"/>
  <c r="AG832" i="1" l="1"/>
  <c r="AD832" i="1"/>
  <c r="V832" i="1"/>
  <c r="AF833" i="1" s="1"/>
  <c r="U832" i="1"/>
  <c r="AA832" i="1"/>
  <c r="AH832" i="1" s="1"/>
  <c r="AI832" i="1" l="1"/>
  <c r="X833" i="1" s="1"/>
  <c r="Y833" i="1"/>
  <c r="AE833" i="1"/>
  <c r="AB833" i="1"/>
  <c r="W833" i="1"/>
  <c r="Z833" i="1"/>
  <c r="AC833" i="1"/>
  <c r="AG833" i="1" l="1"/>
  <c r="U833" i="1"/>
  <c r="V833" i="1"/>
  <c r="AF834" i="1" s="1"/>
  <c r="AD833" i="1"/>
  <c r="AA833" i="1"/>
  <c r="AH833" i="1" l="1"/>
  <c r="W834" i="1" s="1"/>
  <c r="AI833" i="1"/>
  <c r="X834" i="1" s="1"/>
  <c r="Z834" i="1"/>
  <c r="AC834" i="1"/>
  <c r="AB834" i="1"/>
  <c r="AD834" i="1" s="1"/>
  <c r="Y834" i="1"/>
  <c r="AE834" i="1"/>
  <c r="AG834" i="1" s="1"/>
  <c r="U834" i="1" l="1"/>
  <c r="AB835" i="1" s="1"/>
  <c r="AA834" i="1"/>
  <c r="V834" i="1"/>
  <c r="AF835" i="1" s="1"/>
  <c r="AI834" i="1" l="1"/>
  <c r="X835" i="1" s="1"/>
  <c r="AH834" i="1"/>
  <c r="Y835" i="1"/>
  <c r="AE835" i="1"/>
  <c r="Z835" i="1"/>
  <c r="AC835" i="1"/>
  <c r="AD835" i="1" s="1"/>
  <c r="AG835" i="1" l="1"/>
  <c r="V835" i="1"/>
  <c r="AF836" i="1" s="1"/>
  <c r="AA835" i="1"/>
  <c r="AI835" i="1" s="1"/>
  <c r="X836" i="1" s="1"/>
  <c r="U835" i="1"/>
  <c r="W835" i="1"/>
  <c r="Z836" i="1" l="1"/>
  <c r="AC836" i="1"/>
  <c r="AH835" i="1"/>
  <c r="W836" i="1" s="1"/>
  <c r="V836" i="1"/>
  <c r="AF837" i="1" s="1"/>
  <c r="Y836" i="1"/>
  <c r="AE836" i="1"/>
  <c r="AG836" i="1" s="1"/>
  <c r="AB836" i="1"/>
  <c r="AD836" i="1" s="1"/>
  <c r="Z837" i="1" l="1"/>
  <c r="AC837" i="1"/>
  <c r="U836" i="1"/>
  <c r="Y837" i="1" s="1"/>
  <c r="AA836" i="1"/>
  <c r="AB837" i="1" l="1"/>
  <c r="AD837" i="1" s="1"/>
  <c r="AE837" i="1"/>
  <c r="AG837" i="1" s="1"/>
  <c r="AH836" i="1"/>
  <c r="W837" i="1" s="1"/>
  <c r="AI836" i="1"/>
  <c r="AA837" i="1"/>
  <c r="U837" i="1" l="1"/>
  <c r="AH837" i="1"/>
  <c r="W838" i="1" s="1"/>
  <c r="AI837" i="1"/>
  <c r="X837" i="1"/>
  <c r="V837" i="1"/>
  <c r="AF838" i="1" s="1"/>
  <c r="AB838" i="1"/>
  <c r="Y838" i="1"/>
  <c r="AE838" i="1"/>
  <c r="U838" i="1" l="1"/>
  <c r="AC838" i="1"/>
  <c r="AD838" i="1" s="1"/>
  <c r="AG838" i="1"/>
  <c r="V838" i="1"/>
  <c r="AF839" i="1" s="1"/>
  <c r="Z838" i="1"/>
  <c r="X838" i="1"/>
  <c r="Z839" i="1" l="1"/>
  <c r="AC839" i="1"/>
  <c r="AB839" i="1"/>
  <c r="Y839" i="1"/>
  <c r="AE839" i="1"/>
  <c r="AG839" i="1" s="1"/>
  <c r="AA838" i="1"/>
  <c r="AI838" i="1" s="1"/>
  <c r="V839" i="1" l="1"/>
  <c r="AF840" i="1" s="1"/>
  <c r="AH838" i="1"/>
  <c r="AD839" i="1"/>
  <c r="AA839" i="1"/>
  <c r="AH839" i="1" s="1"/>
  <c r="AI839" i="1" l="1"/>
  <c r="X839" i="1"/>
  <c r="W839" i="1"/>
  <c r="W840" i="1" s="1"/>
  <c r="U839" i="1"/>
  <c r="Z840" i="1"/>
  <c r="AC840" i="1"/>
  <c r="X840" i="1" l="1"/>
  <c r="V840" i="1"/>
  <c r="AF841" i="1" s="1"/>
  <c r="AE840" i="1"/>
  <c r="AG840" i="1" s="1"/>
  <c r="AB840" i="1"/>
  <c r="AD840" i="1" s="1"/>
  <c r="Y840" i="1"/>
  <c r="U840" i="1"/>
  <c r="AC841" i="1" l="1"/>
  <c r="Z841" i="1"/>
  <c r="AE841" i="1"/>
  <c r="AG841" i="1" s="1"/>
  <c r="Y841" i="1"/>
  <c r="AB841" i="1"/>
  <c r="AD841" i="1" s="1"/>
  <c r="AA840" i="1"/>
  <c r="AH840" i="1" l="1"/>
  <c r="AI840" i="1"/>
  <c r="AA841" i="1"/>
  <c r="AH841" i="1" s="1"/>
  <c r="AI841" i="1" l="1"/>
  <c r="W841" i="1"/>
  <c r="U841" i="1"/>
  <c r="X841" i="1"/>
  <c r="V841" i="1"/>
  <c r="AF842" i="1" s="1"/>
  <c r="V842" i="1" l="1"/>
  <c r="AF843" i="1" s="1"/>
  <c r="Z842" i="1"/>
  <c r="AC842" i="1"/>
  <c r="Z843" i="1"/>
  <c r="X842" i="1"/>
  <c r="Y842" i="1"/>
  <c r="AE842" i="1"/>
  <c r="AG842" i="1" s="1"/>
  <c r="AB842" i="1"/>
  <c r="U842" i="1"/>
  <c r="W842" i="1"/>
  <c r="AC843" i="1" l="1"/>
  <c r="AB843" i="1"/>
  <c r="AE843" i="1"/>
  <c r="AG843" i="1" s="1"/>
  <c r="Y843" i="1"/>
  <c r="AD843" i="1"/>
  <c r="AD842" i="1"/>
  <c r="AA842" i="1"/>
  <c r="AH842" i="1" s="1"/>
  <c r="AI842" i="1" l="1"/>
  <c r="AA843" i="1"/>
  <c r="AH843" i="1" l="1"/>
  <c r="AI843" i="1"/>
  <c r="W843" i="1"/>
  <c r="U843" i="1"/>
  <c r="X843" i="1"/>
  <c r="V843" i="1"/>
  <c r="AF844" i="1" s="1"/>
  <c r="Z844" i="1" l="1"/>
  <c r="AC844" i="1"/>
  <c r="V844" i="1"/>
  <c r="AF845" i="1" s="1"/>
  <c r="X844" i="1"/>
  <c r="AE844" i="1"/>
  <c r="AG844" i="1" s="1"/>
  <c r="Y844" i="1"/>
  <c r="AB844" i="1"/>
  <c r="U844" i="1"/>
  <c r="W844" i="1"/>
  <c r="Z845" i="1" l="1"/>
  <c r="AC845" i="1"/>
  <c r="AA844" i="1"/>
  <c r="AH844" i="1" s="1"/>
  <c r="AD844" i="1"/>
  <c r="Y845" i="1"/>
  <c r="AE845" i="1"/>
  <c r="AG845" i="1" s="1"/>
  <c r="AB845" i="1"/>
  <c r="AI844" i="1" l="1"/>
  <c r="AA845" i="1"/>
  <c r="AD845" i="1"/>
  <c r="AH845" i="1" l="1"/>
  <c r="AI845" i="1"/>
  <c r="W845" i="1"/>
  <c r="U845" i="1"/>
  <c r="X845" i="1"/>
  <c r="V845" i="1"/>
  <c r="AF846" i="1" s="1"/>
  <c r="X846" i="1" l="1"/>
  <c r="Z846" i="1"/>
  <c r="AC846" i="1"/>
  <c r="Y846" i="1"/>
  <c r="AE846" i="1"/>
  <c r="AG846" i="1" s="1"/>
  <c r="AB846" i="1"/>
  <c r="AD846" i="1" s="1"/>
  <c r="U846" i="1"/>
  <c r="W846" i="1"/>
  <c r="V846" i="1"/>
  <c r="AF847" i="1" s="1"/>
  <c r="AA846" i="1" l="1"/>
  <c r="Y847" i="1"/>
  <c r="AB847" i="1"/>
  <c r="AE847" i="1"/>
  <c r="Z847" i="1"/>
  <c r="AC847" i="1"/>
  <c r="AG847" i="1" l="1"/>
  <c r="AH846" i="1"/>
  <c r="AI846" i="1"/>
  <c r="X847" i="1" s="1"/>
  <c r="AD847" i="1"/>
  <c r="AA847" i="1"/>
  <c r="AH847" i="1" l="1"/>
  <c r="V847" i="1"/>
  <c r="AF848" i="1" s="1"/>
  <c r="AI847" i="1"/>
  <c r="X848" i="1" s="1"/>
  <c r="W847" i="1"/>
  <c r="U847" i="1"/>
  <c r="AC848" i="1"/>
  <c r="Z848" i="1"/>
  <c r="V848" i="1" l="1"/>
  <c r="AF849" i="1" s="1"/>
  <c r="Y848" i="1"/>
  <c r="AB848" i="1"/>
  <c r="AD848" i="1" s="1"/>
  <c r="AE848" i="1"/>
  <c r="AG848" i="1" s="1"/>
  <c r="U848" i="1"/>
  <c r="W848" i="1"/>
  <c r="AC849" i="1"/>
  <c r="Z849" i="1"/>
  <c r="AE849" i="1" l="1"/>
  <c r="AG849" i="1" s="1"/>
  <c r="AB849" i="1"/>
  <c r="AD849" i="1" s="1"/>
  <c r="Y849" i="1"/>
  <c r="AA848" i="1"/>
  <c r="AH848" i="1" l="1"/>
  <c r="W849" i="1" s="1"/>
  <c r="AI848" i="1"/>
  <c r="AA849" i="1"/>
  <c r="U849" i="1" l="1"/>
  <c r="AH849" i="1"/>
  <c r="U850" i="1" s="1"/>
  <c r="AI849" i="1"/>
  <c r="X849" i="1"/>
  <c r="V849" i="1"/>
  <c r="AF850" i="1" s="1"/>
  <c r="AB850" i="1"/>
  <c r="AE850" i="1"/>
  <c r="Y850" i="1"/>
  <c r="W850" i="1" l="1"/>
  <c r="AG850" i="1"/>
  <c r="AC850" i="1"/>
  <c r="AD850" i="1" s="1"/>
  <c r="Z850" i="1"/>
  <c r="V850" i="1"/>
  <c r="AF851" i="1" s="1"/>
  <c r="AB851" i="1"/>
  <c r="AE851" i="1"/>
  <c r="Y851" i="1"/>
  <c r="X850" i="1"/>
  <c r="Z851" i="1" l="1"/>
  <c r="AC851" i="1"/>
  <c r="AD851" i="1" s="1"/>
  <c r="AG851" i="1"/>
  <c r="AA850" i="1"/>
  <c r="AI850" i="1" s="1"/>
  <c r="AA851" i="1"/>
  <c r="AH851" i="1" l="1"/>
  <c r="AI851" i="1"/>
  <c r="X851" i="1"/>
  <c r="AH850" i="1"/>
  <c r="V851" i="1" l="1"/>
  <c r="AF852" i="1" s="1"/>
  <c r="W851" i="1"/>
  <c r="W852" i="1" s="1"/>
  <c r="U851" i="1"/>
  <c r="X852" i="1"/>
  <c r="AC852" i="1" l="1"/>
  <c r="V852" i="1"/>
  <c r="AF853" i="1" s="1"/>
  <c r="Z852" i="1"/>
  <c r="AE852" i="1"/>
  <c r="AG852" i="1" s="1"/>
  <c r="AB852" i="1"/>
  <c r="AD852" i="1" s="1"/>
  <c r="U852" i="1"/>
  <c r="Y852" i="1"/>
  <c r="AC853" i="1" l="1"/>
  <c r="Z853" i="1"/>
  <c r="AA852" i="1"/>
  <c r="AE853" i="1"/>
  <c r="AG853" i="1" s="1"/>
  <c r="AB853" i="1"/>
  <c r="AD853" i="1" s="1"/>
  <c r="Y853" i="1"/>
  <c r="AH852" i="1" l="1"/>
  <c r="W853" i="1" s="1"/>
  <c r="AI852" i="1"/>
  <c r="AA853" i="1"/>
  <c r="AH853" i="1" l="1"/>
  <c r="W854" i="1" s="1"/>
  <c r="AI853" i="1"/>
  <c r="U853" i="1"/>
  <c r="Y854" i="1" s="1"/>
  <c r="X853" i="1"/>
  <c r="V853" i="1"/>
  <c r="AF854" i="1" s="1"/>
  <c r="AE854" i="1" l="1"/>
  <c r="U854" i="1"/>
  <c r="AB855" i="1" s="1"/>
  <c r="AB854" i="1"/>
  <c r="X854" i="1"/>
  <c r="Z854" i="1"/>
  <c r="V854" i="1"/>
  <c r="AF855" i="1" s="1"/>
  <c r="AC854" i="1"/>
  <c r="AD854" i="1" s="1"/>
  <c r="Y855" i="1" l="1"/>
  <c r="AG854" i="1"/>
  <c r="AE855" i="1"/>
  <c r="AC855" i="1"/>
  <c r="Z855" i="1"/>
  <c r="AA855" i="1" s="1"/>
  <c r="AA854" i="1"/>
  <c r="AH854" i="1" s="1"/>
  <c r="AD855" i="1"/>
  <c r="AG855" i="1" l="1"/>
  <c r="AH855" i="1" s="1"/>
  <c r="AI854" i="1"/>
  <c r="X855" i="1" s="1"/>
  <c r="W855" i="1"/>
  <c r="U855" i="1"/>
  <c r="AI855" i="1" l="1"/>
  <c r="X856" i="1" s="1"/>
  <c r="W856" i="1"/>
  <c r="V855" i="1"/>
  <c r="AF856" i="1" s="1"/>
  <c r="Y856" i="1"/>
  <c r="AB856" i="1"/>
  <c r="AE856" i="1"/>
  <c r="U856" i="1"/>
  <c r="AG856" i="1" l="1"/>
  <c r="V856" i="1"/>
  <c r="AF857" i="1" s="1"/>
  <c r="Z856" i="1"/>
  <c r="AA856" i="1" s="1"/>
  <c r="AC856" i="1"/>
  <c r="AD856" i="1" s="1"/>
  <c r="AE857" i="1"/>
  <c r="Y857" i="1"/>
  <c r="AB857" i="1"/>
  <c r="AC857" i="1" l="1"/>
  <c r="Z857" i="1"/>
  <c r="AG857" i="1"/>
  <c r="AI856" i="1"/>
  <c r="X857" i="1" s="1"/>
  <c r="AH856" i="1"/>
  <c r="AA857" i="1"/>
  <c r="AD857" i="1"/>
  <c r="AH857" i="1" l="1"/>
  <c r="V857" i="1"/>
  <c r="AF858" i="1" s="1"/>
  <c r="AI857" i="1"/>
  <c r="X858" i="1" s="1"/>
  <c r="W857" i="1"/>
  <c r="U857" i="1"/>
  <c r="Z858" i="1" l="1"/>
  <c r="AC858" i="1"/>
  <c r="V858" i="1"/>
  <c r="AF859" i="1" s="1"/>
  <c r="W858" i="1"/>
  <c r="Y858" i="1"/>
  <c r="AE858" i="1"/>
  <c r="AG858" i="1" s="1"/>
  <c r="AB858" i="1"/>
  <c r="AD858" i="1" s="1"/>
  <c r="U858" i="1"/>
  <c r="Z859" i="1" l="1"/>
  <c r="AC859" i="1"/>
  <c r="Y859" i="1"/>
  <c r="AB859" i="1"/>
  <c r="AD859" i="1" s="1"/>
  <c r="AE859" i="1"/>
  <c r="AG859" i="1" s="1"/>
  <c r="AA858" i="1"/>
  <c r="AH858" i="1" l="1"/>
  <c r="AI858" i="1"/>
  <c r="AA859" i="1"/>
  <c r="AH859" i="1" l="1"/>
  <c r="AI859" i="1"/>
  <c r="U859" i="1"/>
  <c r="W859" i="1"/>
  <c r="X859" i="1"/>
  <c r="V859" i="1"/>
  <c r="AF860" i="1" s="1"/>
  <c r="AC860" i="1" l="1"/>
  <c r="Z860" i="1"/>
  <c r="V860" i="1"/>
  <c r="AF861" i="1" s="1"/>
  <c r="W860" i="1"/>
  <c r="AE860" i="1"/>
  <c r="AG860" i="1" s="1"/>
  <c r="AB860" i="1"/>
  <c r="Y860" i="1"/>
  <c r="U860" i="1"/>
  <c r="X860" i="1"/>
  <c r="AA860" i="1" l="1"/>
  <c r="AC861" i="1"/>
  <c r="Z861" i="1"/>
  <c r="AB861" i="1"/>
  <c r="AD861" i="1" s="1"/>
  <c r="AE861" i="1"/>
  <c r="AG861" i="1" s="1"/>
  <c r="Y861" i="1"/>
  <c r="AD860" i="1"/>
  <c r="AH860" i="1" l="1"/>
  <c r="AI860" i="1"/>
  <c r="AA861" i="1"/>
  <c r="AH861" i="1" s="1"/>
  <c r="AI861" i="1" l="1"/>
  <c r="X861" i="1"/>
  <c r="V861" i="1"/>
  <c r="AF862" i="1" s="1"/>
  <c r="W861" i="1"/>
  <c r="U861" i="1"/>
  <c r="X862" i="1" l="1"/>
  <c r="Y862" i="1"/>
  <c r="AE862" i="1"/>
  <c r="U862" i="1"/>
  <c r="AB862" i="1"/>
  <c r="Z862" i="1"/>
  <c r="V862" i="1"/>
  <c r="AF863" i="1" s="1"/>
  <c r="AC862" i="1"/>
  <c r="W862" i="1"/>
  <c r="AG862" i="1" l="1"/>
  <c r="AD862" i="1"/>
  <c r="AC863" i="1"/>
  <c r="Z863" i="1"/>
  <c r="AE863" i="1"/>
  <c r="AG863" i="1" s="1"/>
  <c r="Y863" i="1"/>
  <c r="AB863" i="1"/>
  <c r="AD863" i="1" s="1"/>
  <c r="AA862" i="1"/>
  <c r="AH862" i="1" s="1"/>
  <c r="AI862" i="1" l="1"/>
  <c r="X863" i="1" s="1"/>
  <c r="AA863" i="1"/>
  <c r="AH863" i="1" s="1"/>
  <c r="AI863" i="1" l="1"/>
  <c r="X864" i="1" s="1"/>
  <c r="V863" i="1"/>
  <c r="AF864" i="1" s="1"/>
  <c r="W863" i="1"/>
  <c r="U863" i="1"/>
  <c r="Z864" i="1"/>
  <c r="AC864" i="1" l="1"/>
  <c r="V864" i="1"/>
  <c r="AF865" i="1" s="1"/>
  <c r="U864" i="1"/>
  <c r="AE864" i="1"/>
  <c r="AG864" i="1" s="1"/>
  <c r="AB864" i="1"/>
  <c r="AD864" i="1" s="1"/>
  <c r="Y864" i="1"/>
  <c r="W864" i="1"/>
  <c r="AC865" i="1"/>
  <c r="Z865" i="1" l="1"/>
  <c r="AA864" i="1"/>
  <c r="AB865" i="1"/>
  <c r="AD865" i="1" s="1"/>
  <c r="AE865" i="1"/>
  <c r="AG865" i="1" s="1"/>
  <c r="Y865" i="1"/>
  <c r="AH864" i="1" l="1"/>
  <c r="W865" i="1" s="1"/>
  <c r="AI864" i="1"/>
  <c r="AA865" i="1"/>
  <c r="U865" i="1" l="1"/>
  <c r="AH865" i="1"/>
  <c r="U866" i="1" s="1"/>
  <c r="AI865" i="1"/>
  <c r="V865" i="1"/>
  <c r="AF866" i="1" s="1"/>
  <c r="X865" i="1"/>
  <c r="Y866" i="1"/>
  <c r="AE866" i="1"/>
  <c r="AB866" i="1"/>
  <c r="X866" i="1" l="1"/>
  <c r="AE867" i="1"/>
  <c r="AB867" i="1"/>
  <c r="Y867" i="1"/>
  <c r="W866" i="1"/>
  <c r="AG866" i="1"/>
  <c r="Z866" i="1"/>
  <c r="AC866" i="1"/>
  <c r="AD866" i="1" s="1"/>
  <c r="V866" i="1"/>
  <c r="AF867" i="1" s="1"/>
  <c r="AA866" i="1" l="1"/>
  <c r="AH866" i="1" s="1"/>
  <c r="U867" i="1" s="1"/>
  <c r="AG867" i="1"/>
  <c r="AC867" i="1"/>
  <c r="AD867" i="1" s="1"/>
  <c r="Z867" i="1"/>
  <c r="AI866" i="1" l="1"/>
  <c r="X867" i="1" s="1"/>
  <c r="W867" i="1"/>
  <c r="AE868" i="1"/>
  <c r="Y868" i="1"/>
  <c r="AB868" i="1"/>
  <c r="AA867" i="1"/>
  <c r="AH867" i="1" s="1"/>
  <c r="V867" i="1" l="1"/>
  <c r="AF868" i="1" s="1"/>
  <c r="AI867" i="1"/>
  <c r="AG868" i="1" l="1"/>
  <c r="Z868" i="1"/>
  <c r="AA868" i="1" s="1"/>
  <c r="AC868" i="1"/>
  <c r="AD868" i="1" s="1"/>
  <c r="X868" i="1"/>
  <c r="V868" i="1"/>
  <c r="AF869" i="1" s="1"/>
  <c r="U868" i="1"/>
  <c r="W868" i="1"/>
  <c r="AH868" i="1" l="1"/>
  <c r="U869" i="1" s="1"/>
  <c r="AI868" i="1"/>
  <c r="X869" i="1" s="1"/>
  <c r="Y869" i="1"/>
  <c r="AB869" i="1"/>
  <c r="AE869" i="1"/>
  <c r="Z869" i="1"/>
  <c r="AC869" i="1"/>
  <c r="AD869" i="1" s="1"/>
  <c r="W869" i="1" l="1"/>
  <c r="AG869" i="1"/>
  <c r="V869" i="1"/>
  <c r="AF870" i="1" s="1"/>
  <c r="AE870" i="1"/>
  <c r="AB870" i="1"/>
  <c r="Y870" i="1"/>
  <c r="AA869" i="1"/>
  <c r="Z870" i="1" l="1"/>
  <c r="AG870" i="1"/>
  <c r="AC870" i="1"/>
  <c r="AI869" i="1"/>
  <c r="X870" i="1" s="1"/>
  <c r="AH869" i="1"/>
  <c r="U870" i="1" s="1"/>
  <c r="AB871" i="1" s="1"/>
  <c r="AA870" i="1"/>
  <c r="AD870" i="1"/>
  <c r="AH870" i="1" l="1"/>
  <c r="V870" i="1"/>
  <c r="AF871" i="1" s="1"/>
  <c r="AI870" i="1"/>
  <c r="X871" i="1" s="1"/>
  <c r="W870" i="1"/>
  <c r="Y871" i="1"/>
  <c r="AE871" i="1"/>
  <c r="AC871" i="1"/>
  <c r="AD871" i="1" s="1"/>
  <c r="Z871" i="1"/>
  <c r="AA871" i="1" l="1"/>
  <c r="W871" i="1"/>
  <c r="AG871" i="1"/>
  <c r="AH871" i="1" s="1"/>
  <c r="W872" i="1" s="1"/>
  <c r="V871" i="1"/>
  <c r="AF872" i="1" s="1"/>
  <c r="U871" i="1"/>
  <c r="AC872" i="1" l="1"/>
  <c r="Z872" i="1"/>
  <c r="AI871" i="1"/>
  <c r="V872" i="1" s="1"/>
  <c r="AF873" i="1" s="1"/>
  <c r="AB872" i="1"/>
  <c r="AD872" i="1" s="1"/>
  <c r="Y872" i="1"/>
  <c r="AE872" i="1"/>
  <c r="AG872" i="1" s="1"/>
  <c r="U872" i="1"/>
  <c r="Z873" i="1" l="1"/>
  <c r="AC873" i="1"/>
  <c r="X872" i="1"/>
  <c r="AA872" i="1"/>
  <c r="AH872" i="1" s="1"/>
  <c r="Y873" i="1"/>
  <c r="AB873" i="1"/>
  <c r="AD873" i="1" s="1"/>
  <c r="AE873" i="1"/>
  <c r="AG873" i="1" s="1"/>
  <c r="AI872" i="1" l="1"/>
  <c r="AA873" i="1"/>
  <c r="AH873" i="1" s="1"/>
  <c r="AI873" i="1" l="1"/>
  <c r="X873" i="1"/>
  <c r="V873" i="1"/>
  <c r="AF874" i="1" s="1"/>
  <c r="W873" i="1"/>
  <c r="U873" i="1"/>
  <c r="AB874" i="1" l="1"/>
  <c r="Y874" i="1"/>
  <c r="AE874" i="1"/>
  <c r="U874" i="1"/>
  <c r="W874" i="1"/>
  <c r="AC874" i="1"/>
  <c r="AD874" i="1" s="1"/>
  <c r="V874" i="1"/>
  <c r="AF875" i="1" s="1"/>
  <c r="Z874" i="1"/>
  <c r="X874" i="1"/>
  <c r="AG874" i="1" l="1"/>
  <c r="AC875" i="1"/>
  <c r="Z875" i="1"/>
  <c r="AA874" i="1"/>
  <c r="AH874" i="1" s="1"/>
  <c r="AE875" i="1"/>
  <c r="AG875" i="1" s="1"/>
  <c r="AB875" i="1"/>
  <c r="AD875" i="1" s="1"/>
  <c r="Y875" i="1"/>
  <c r="AI874" i="1" l="1"/>
  <c r="U875" i="1"/>
  <c r="Y876" i="1" s="1"/>
  <c r="AA875" i="1"/>
  <c r="AH875" i="1" s="1"/>
  <c r="AI875" i="1" l="1"/>
  <c r="AB876" i="1"/>
  <c r="W875" i="1"/>
  <c r="W876" i="1" s="1"/>
  <c r="AE876" i="1"/>
  <c r="X875" i="1"/>
  <c r="V875" i="1"/>
  <c r="AF876" i="1" s="1"/>
  <c r="X876" i="1" l="1"/>
  <c r="U876" i="1"/>
  <c r="AB877" i="1" s="1"/>
  <c r="AC876" i="1"/>
  <c r="AD876" i="1" s="1"/>
  <c r="AG876" i="1"/>
  <c r="Z876" i="1"/>
  <c r="V876" i="1"/>
  <c r="AF877" i="1" s="1"/>
  <c r="AE877" i="1" l="1"/>
  <c r="Y877" i="1"/>
  <c r="Z877" i="1"/>
  <c r="AC877" i="1"/>
  <c r="AD877" i="1" s="1"/>
  <c r="AA876" i="1"/>
  <c r="AH876" i="1" s="1"/>
  <c r="AA877" i="1"/>
  <c r="AG877" i="1" l="1"/>
  <c r="AI877" i="1" s="1"/>
  <c r="AI876" i="1"/>
  <c r="AH877" i="1" l="1"/>
  <c r="V877" i="1"/>
  <c r="AF878" i="1" s="1"/>
  <c r="X877" i="1"/>
  <c r="X878" i="1" s="1"/>
  <c r="W877" i="1"/>
  <c r="U877" i="1"/>
  <c r="W878" i="1" l="1"/>
  <c r="AC878" i="1"/>
  <c r="V878" i="1"/>
  <c r="AF879" i="1" s="1"/>
  <c r="Z878" i="1"/>
  <c r="AE878" i="1"/>
  <c r="AG878" i="1" s="1"/>
  <c r="Y878" i="1"/>
  <c r="AB878" i="1"/>
  <c r="U878" i="1"/>
  <c r="AA878" i="1" l="1"/>
  <c r="AE879" i="1"/>
  <c r="Y879" i="1"/>
  <c r="AB879" i="1"/>
  <c r="Z879" i="1"/>
  <c r="AC879" i="1"/>
  <c r="AD879" i="1" s="1"/>
  <c r="AD878" i="1"/>
  <c r="AG879" i="1" l="1"/>
  <c r="AH878" i="1"/>
  <c r="AI878" i="1"/>
  <c r="AA879" i="1"/>
  <c r="AI879" i="1" s="1"/>
  <c r="AH879" i="1" l="1"/>
  <c r="W879" i="1"/>
  <c r="U879" i="1"/>
  <c r="X879" i="1"/>
  <c r="X880" i="1" s="1"/>
  <c r="V879" i="1"/>
  <c r="AF880" i="1" s="1"/>
  <c r="Y880" i="1" l="1"/>
  <c r="AE880" i="1"/>
  <c r="AB880" i="1"/>
  <c r="U880" i="1"/>
  <c r="Z880" i="1"/>
  <c r="AC880" i="1"/>
  <c r="V880" i="1"/>
  <c r="AF881" i="1" s="1"/>
  <c r="W880" i="1"/>
  <c r="AG880" i="1" l="1"/>
  <c r="AB881" i="1"/>
  <c r="AE881" i="1"/>
  <c r="Y881" i="1"/>
  <c r="AC881" i="1"/>
  <c r="Z881" i="1"/>
  <c r="AD880" i="1"/>
  <c r="AA880" i="1"/>
  <c r="AH880" i="1" s="1"/>
  <c r="AG881" i="1" l="1"/>
  <c r="AI880" i="1"/>
  <c r="AA881" i="1"/>
  <c r="AD881" i="1"/>
  <c r="AH881" i="1" l="1"/>
  <c r="AI881" i="1"/>
  <c r="X881" i="1"/>
  <c r="V881" i="1"/>
  <c r="AF882" i="1" s="1"/>
  <c r="W881" i="1"/>
  <c r="U881" i="1"/>
  <c r="X882" i="1" l="1"/>
  <c r="W882" i="1"/>
  <c r="AC882" i="1"/>
  <c r="Z882" i="1"/>
  <c r="V882" i="1"/>
  <c r="AF883" i="1" s="1"/>
  <c r="AB882" i="1"/>
  <c r="AD882" i="1" s="1"/>
  <c r="Y882" i="1"/>
  <c r="AE882" i="1"/>
  <c r="AG882" i="1" s="1"/>
  <c r="U882" i="1"/>
  <c r="AA882" i="1" l="1"/>
  <c r="AB883" i="1"/>
  <c r="Y883" i="1"/>
  <c r="AE883" i="1"/>
  <c r="AC883" i="1"/>
  <c r="Z883" i="1"/>
  <c r="AG883" i="1" l="1"/>
  <c r="AI882" i="1"/>
  <c r="X883" i="1" s="1"/>
  <c r="AH882" i="1"/>
  <c r="AA883" i="1"/>
  <c r="AD883" i="1"/>
  <c r="AH883" i="1" l="1"/>
  <c r="V883" i="1"/>
  <c r="AF884" i="1" s="1"/>
  <c r="AI883" i="1"/>
  <c r="W883" i="1"/>
  <c r="U883" i="1"/>
  <c r="Z884" i="1"/>
  <c r="AC884" i="1"/>
  <c r="W884" i="1" l="1"/>
  <c r="Y884" i="1"/>
  <c r="AB884" i="1"/>
  <c r="AD884" i="1" s="1"/>
  <c r="AE884" i="1"/>
  <c r="AG884" i="1" s="1"/>
  <c r="U884" i="1"/>
  <c r="V884" i="1"/>
  <c r="AF885" i="1" s="1"/>
  <c r="X884" i="1"/>
  <c r="AC885" i="1" l="1"/>
  <c r="Z885" i="1"/>
  <c r="AA884" i="1"/>
  <c r="AB885" i="1"/>
  <c r="AD885" i="1" s="1"/>
  <c r="AE885" i="1"/>
  <c r="AG885" i="1" s="1"/>
  <c r="Y885" i="1"/>
  <c r="AH884" i="1" l="1"/>
  <c r="AI884" i="1"/>
  <c r="AA885" i="1"/>
  <c r="AH885" i="1" s="1"/>
  <c r="AI885" i="1" l="1"/>
  <c r="W885" i="1"/>
  <c r="U885" i="1"/>
  <c r="X885" i="1"/>
  <c r="V885" i="1"/>
  <c r="AF886" i="1" s="1"/>
  <c r="X886" i="1" l="1"/>
  <c r="Z886" i="1"/>
  <c r="AC886" i="1"/>
  <c r="V886" i="1"/>
  <c r="AF887" i="1" s="1"/>
  <c r="AB886" i="1"/>
  <c r="AD886" i="1" s="1"/>
  <c r="AE886" i="1"/>
  <c r="AG886" i="1" s="1"/>
  <c r="Y886" i="1"/>
  <c r="U886" i="1"/>
  <c r="W886" i="1"/>
  <c r="Z887" i="1" l="1"/>
  <c r="AC887" i="1"/>
  <c r="AB887" i="1"/>
  <c r="AD887" i="1" s="1"/>
  <c r="AE887" i="1"/>
  <c r="AG887" i="1" s="1"/>
  <c r="Y887" i="1"/>
  <c r="AA886" i="1"/>
  <c r="AH886" i="1" s="1"/>
  <c r="AI886" i="1" l="1"/>
  <c r="AA887" i="1"/>
  <c r="AH887" i="1" s="1"/>
  <c r="AI887" i="1" l="1"/>
  <c r="X888" i="1" s="1"/>
  <c r="X887" i="1"/>
  <c r="V887" i="1"/>
  <c r="AF888" i="1" s="1"/>
  <c r="W887" i="1"/>
  <c r="U887" i="1"/>
  <c r="W888" i="1" l="1"/>
  <c r="AE888" i="1"/>
  <c r="Y888" i="1"/>
  <c r="AB888" i="1"/>
  <c r="U888" i="1"/>
  <c r="Z888" i="1"/>
  <c r="AC888" i="1"/>
  <c r="V888" i="1"/>
  <c r="AF889" i="1" s="1"/>
  <c r="AG888" i="1" l="1"/>
  <c r="AC889" i="1"/>
  <c r="Z889" i="1"/>
  <c r="AE889" i="1"/>
  <c r="AG889" i="1" s="1"/>
  <c r="Y889" i="1"/>
  <c r="AB889" i="1"/>
  <c r="AD889" i="1" s="1"/>
  <c r="AA888" i="1"/>
  <c r="AD888" i="1"/>
  <c r="AH888" i="1" l="1"/>
  <c r="AI888" i="1"/>
  <c r="AA889" i="1"/>
  <c r="AH889" i="1" s="1"/>
  <c r="AI889" i="1" l="1"/>
  <c r="W889" i="1"/>
  <c r="U889" i="1"/>
  <c r="X889" i="1"/>
  <c r="V889" i="1"/>
  <c r="AF890" i="1" s="1"/>
  <c r="V890" i="1" l="1"/>
  <c r="AF891" i="1" s="1"/>
  <c r="Z890" i="1"/>
  <c r="AC890" i="1"/>
  <c r="AE890" i="1"/>
  <c r="AG890" i="1" s="1"/>
  <c r="Y890" i="1"/>
  <c r="AB890" i="1"/>
  <c r="AD890" i="1" s="1"/>
  <c r="U890" i="1"/>
  <c r="X890" i="1"/>
  <c r="W890" i="1"/>
  <c r="AC891" i="1" l="1"/>
  <c r="Z891" i="1"/>
  <c r="AA890" i="1"/>
  <c r="AB891" i="1"/>
  <c r="AD891" i="1" s="1"/>
  <c r="Y891" i="1"/>
  <c r="AE891" i="1"/>
  <c r="AG891" i="1" s="1"/>
  <c r="AI890" i="1" l="1"/>
  <c r="X891" i="1" s="1"/>
  <c r="AH890" i="1"/>
  <c r="AA891" i="1"/>
  <c r="AH891" i="1" s="1"/>
  <c r="V891" i="1" l="1"/>
  <c r="AF892" i="1" s="1"/>
  <c r="AI891" i="1"/>
  <c r="X892" i="1" s="1"/>
  <c r="U891" i="1"/>
  <c r="W891" i="1"/>
  <c r="W892" i="1" s="1"/>
  <c r="Z892" i="1"/>
  <c r="AC892" i="1"/>
  <c r="V892" i="1" l="1"/>
  <c r="AF893" i="1" s="1"/>
  <c r="Y892" i="1"/>
  <c r="AB892" i="1"/>
  <c r="AD892" i="1" s="1"/>
  <c r="AE892" i="1"/>
  <c r="AG892" i="1" s="1"/>
  <c r="U892" i="1"/>
  <c r="Y893" i="1" l="1"/>
  <c r="AB893" i="1"/>
  <c r="AE893" i="1"/>
  <c r="AC893" i="1"/>
  <c r="Z893" i="1"/>
  <c r="AA892" i="1"/>
  <c r="AG893" i="1" l="1"/>
  <c r="AH892" i="1"/>
  <c r="W893" i="1" s="1"/>
  <c r="AI892" i="1"/>
  <c r="AD893" i="1"/>
  <c r="AA893" i="1"/>
  <c r="AH893" i="1" l="1"/>
  <c r="W894" i="1" s="1"/>
  <c r="U893" i="1"/>
  <c r="AI893" i="1"/>
  <c r="X893" i="1"/>
  <c r="V893" i="1"/>
  <c r="AF894" i="1" s="1"/>
  <c r="Y894" i="1"/>
  <c r="AE894" i="1"/>
  <c r="AB894" i="1"/>
  <c r="U894" i="1" l="1"/>
  <c r="AC894" i="1"/>
  <c r="AD894" i="1" s="1"/>
  <c r="Z894" i="1"/>
  <c r="AG894" i="1"/>
  <c r="V894" i="1"/>
  <c r="AF895" i="1" s="1"/>
  <c r="X894" i="1"/>
  <c r="AC895" i="1" l="1"/>
  <c r="Z895" i="1"/>
  <c r="Y895" i="1"/>
  <c r="AE895" i="1"/>
  <c r="AG895" i="1" s="1"/>
  <c r="AB895" i="1"/>
  <c r="AD895" i="1" s="1"/>
  <c r="AA894" i="1"/>
  <c r="AH894" i="1" s="1"/>
  <c r="AI894" i="1" l="1"/>
  <c r="AA895" i="1"/>
  <c r="AH895" i="1" s="1"/>
  <c r="AI895" i="1" l="1"/>
  <c r="X895" i="1"/>
  <c r="V895" i="1"/>
  <c r="AF896" i="1" s="1"/>
  <c r="W895" i="1"/>
  <c r="W896" i="1" s="1"/>
  <c r="U895" i="1"/>
  <c r="V896" i="1" l="1"/>
  <c r="AF897" i="1" s="1"/>
  <c r="X896" i="1"/>
  <c r="AE896" i="1"/>
  <c r="AB896" i="1"/>
  <c r="Y896" i="1"/>
  <c r="U896" i="1"/>
  <c r="AC896" i="1"/>
  <c r="Z896" i="1"/>
  <c r="Z897" i="1" l="1"/>
  <c r="AG896" i="1"/>
  <c r="AC897" i="1"/>
  <c r="AD896" i="1"/>
  <c r="AA896" i="1"/>
  <c r="AE897" i="1"/>
  <c r="AG897" i="1" s="1"/>
  <c r="AB897" i="1"/>
  <c r="AD897" i="1" s="1"/>
  <c r="Y897" i="1"/>
  <c r="AH896" i="1" l="1"/>
  <c r="AI896" i="1"/>
  <c r="AA897" i="1"/>
  <c r="AH897" i="1" l="1"/>
  <c r="AI897" i="1"/>
  <c r="X897" i="1"/>
  <c r="V897" i="1"/>
  <c r="AF898" i="1" s="1"/>
  <c r="W897" i="1"/>
  <c r="U897" i="1"/>
  <c r="Y898" i="1" l="1"/>
  <c r="AB898" i="1"/>
  <c r="AE898" i="1"/>
  <c r="U898" i="1"/>
  <c r="W898" i="1"/>
  <c r="AC898" i="1"/>
  <c r="Z898" i="1"/>
  <c r="V898" i="1"/>
  <c r="AF899" i="1" s="1"/>
  <c r="X898" i="1"/>
  <c r="AG898" i="1" l="1"/>
  <c r="AE899" i="1"/>
  <c r="Y899" i="1"/>
  <c r="AB899" i="1"/>
  <c r="AD898" i="1"/>
  <c r="Z899" i="1"/>
  <c r="AC899" i="1"/>
  <c r="AA898" i="1"/>
  <c r="AH898" i="1" s="1"/>
  <c r="AG899" i="1" l="1"/>
  <c r="AI898" i="1"/>
  <c r="AA899" i="1"/>
  <c r="AD899" i="1"/>
  <c r="AH899" i="1" l="1"/>
  <c r="AI899" i="1"/>
  <c r="W899" i="1"/>
  <c r="U899" i="1"/>
  <c r="X899" i="1"/>
  <c r="V899" i="1"/>
  <c r="AF900" i="1" s="1"/>
  <c r="X900" i="1" l="1"/>
  <c r="Y900" i="1"/>
  <c r="AE900" i="1"/>
  <c r="AB900" i="1"/>
  <c r="U900" i="1"/>
  <c r="Z900" i="1"/>
  <c r="AC900" i="1"/>
  <c r="AD900" i="1" s="1"/>
  <c r="V900" i="1"/>
  <c r="AF901" i="1" s="1"/>
  <c r="W900" i="1"/>
  <c r="AG900" i="1" l="1"/>
  <c r="Z901" i="1"/>
  <c r="AC901" i="1"/>
  <c r="AB901" i="1"/>
  <c r="AD901" i="1" s="1"/>
  <c r="Y901" i="1"/>
  <c r="AE901" i="1"/>
  <c r="AG901" i="1" s="1"/>
  <c r="AA900" i="1"/>
  <c r="AH900" i="1" s="1"/>
  <c r="AI900" i="1" l="1"/>
  <c r="AA901" i="1"/>
  <c r="AH901" i="1" s="1"/>
  <c r="AI901" i="1" l="1"/>
  <c r="X901" i="1"/>
  <c r="V901" i="1"/>
  <c r="AF902" i="1" s="1"/>
  <c r="W901" i="1"/>
  <c r="U901" i="1"/>
  <c r="V902" i="1" l="1"/>
  <c r="AF903" i="1" s="1"/>
  <c r="X902" i="1"/>
  <c r="W902" i="1"/>
  <c r="Z903" i="1"/>
  <c r="AC903" i="1"/>
  <c r="Z902" i="1"/>
  <c r="AC902" i="1"/>
  <c r="AB902" i="1"/>
  <c r="Y902" i="1"/>
  <c r="AE902" i="1"/>
  <c r="AG902" i="1" s="1"/>
  <c r="U902" i="1"/>
  <c r="AD902" i="1" l="1"/>
  <c r="AA902" i="1"/>
  <c r="AH902" i="1" s="1"/>
  <c r="AB903" i="1"/>
  <c r="AD903" i="1" s="1"/>
  <c r="Y903" i="1"/>
  <c r="AE903" i="1"/>
  <c r="AG903" i="1" s="1"/>
  <c r="AI902" i="1" l="1"/>
  <c r="X903" i="1" s="1"/>
  <c r="AA903" i="1"/>
  <c r="AH903" i="1" l="1"/>
  <c r="AI903" i="1"/>
  <c r="V903" i="1"/>
  <c r="AF904" i="1" s="1"/>
  <c r="U903" i="1"/>
  <c r="W903" i="1"/>
  <c r="Z904" i="1" l="1"/>
  <c r="AC904" i="1"/>
  <c r="V904" i="1"/>
  <c r="AF905" i="1" s="1"/>
  <c r="X904" i="1"/>
  <c r="W904" i="1"/>
  <c r="Y904" i="1"/>
  <c r="AB904" i="1"/>
  <c r="AD904" i="1" s="1"/>
  <c r="AE904" i="1"/>
  <c r="AG904" i="1" s="1"/>
  <c r="U904" i="1"/>
  <c r="AC905" i="1" l="1"/>
  <c r="Z905" i="1"/>
  <c r="Y905" i="1"/>
  <c r="AE905" i="1"/>
  <c r="AG905" i="1" s="1"/>
  <c r="AB905" i="1"/>
  <c r="AD905" i="1" s="1"/>
  <c r="AA904" i="1"/>
  <c r="AH904" i="1" l="1"/>
  <c r="U905" i="1" s="1"/>
  <c r="AI904" i="1"/>
  <c r="AA905" i="1"/>
  <c r="AH905" i="1" l="1"/>
  <c r="AI905" i="1"/>
  <c r="W905" i="1"/>
  <c r="V905" i="1"/>
  <c r="AF906" i="1" s="1"/>
  <c r="X905" i="1"/>
  <c r="AB906" i="1"/>
  <c r="Y906" i="1"/>
  <c r="AE906" i="1"/>
  <c r="W906" i="1" l="1"/>
  <c r="U906" i="1"/>
  <c r="X906" i="1"/>
  <c r="AC906" i="1"/>
  <c r="AD906" i="1" s="1"/>
  <c r="AG906" i="1"/>
  <c r="Z906" i="1"/>
  <c r="V906" i="1"/>
  <c r="AF907" i="1" s="1"/>
  <c r="AA906" i="1"/>
  <c r="AH906" i="1" l="1"/>
  <c r="W907" i="1" s="1"/>
  <c r="AI906" i="1"/>
  <c r="V907" i="1" s="1"/>
  <c r="AF908" i="1" s="1"/>
  <c r="AC907" i="1"/>
  <c r="Z907" i="1"/>
  <c r="AE907" i="1"/>
  <c r="AG907" i="1" s="1"/>
  <c r="Y907" i="1"/>
  <c r="AB907" i="1"/>
  <c r="AD907" i="1" s="1"/>
  <c r="U907" i="1" l="1"/>
  <c r="AC908" i="1"/>
  <c r="Z908" i="1"/>
  <c r="AA907" i="1"/>
  <c r="AH907" i="1" s="1"/>
  <c r="X907" i="1"/>
  <c r="AB908" i="1"/>
  <c r="AD908" i="1" s="1"/>
  <c r="Y908" i="1"/>
  <c r="AE908" i="1"/>
  <c r="AG908" i="1" s="1"/>
  <c r="AI907" i="1" l="1"/>
  <c r="V908" i="1" s="1"/>
  <c r="AF909" i="1" s="1"/>
  <c r="AA908" i="1"/>
  <c r="AI908" i="1" s="1"/>
  <c r="AH908" i="1" l="1"/>
  <c r="W908" i="1"/>
  <c r="U908" i="1"/>
  <c r="Z909" i="1"/>
  <c r="AC909" i="1"/>
  <c r="X908" i="1"/>
  <c r="X909" i="1" s="1"/>
  <c r="V909" i="1" l="1"/>
  <c r="AF910" i="1" s="1"/>
  <c r="AB909" i="1"/>
  <c r="AD909" i="1" s="1"/>
  <c r="Y909" i="1"/>
  <c r="AE909" i="1"/>
  <c r="AG909" i="1" s="1"/>
  <c r="U909" i="1"/>
  <c r="W909" i="1"/>
  <c r="AA909" i="1" l="1"/>
  <c r="Y910" i="1"/>
  <c r="AB910" i="1"/>
  <c r="AE910" i="1"/>
  <c r="AC910" i="1"/>
  <c r="Z910" i="1"/>
  <c r="AG910" i="1" l="1"/>
  <c r="AH909" i="1"/>
  <c r="AI909" i="1"/>
  <c r="AD910" i="1"/>
  <c r="AA910" i="1"/>
  <c r="AH910" i="1" l="1"/>
  <c r="AI910" i="1"/>
  <c r="W910" i="1"/>
  <c r="U910" i="1"/>
  <c r="X910" i="1"/>
  <c r="V910" i="1"/>
  <c r="AF911" i="1" s="1"/>
  <c r="AC911" i="1" l="1"/>
  <c r="Z911" i="1"/>
  <c r="V911" i="1"/>
  <c r="AF912" i="1" s="1"/>
  <c r="X911" i="1"/>
  <c r="AB911" i="1"/>
  <c r="Y911" i="1"/>
  <c r="AE911" i="1"/>
  <c r="AG911" i="1" s="1"/>
  <c r="U911" i="1"/>
  <c r="W911" i="1"/>
  <c r="AC912" i="1" l="1"/>
  <c r="Z912" i="1"/>
  <c r="Y912" i="1"/>
  <c r="AB912" i="1"/>
  <c r="AE912" i="1"/>
  <c r="AG912" i="1" s="1"/>
  <c r="AD911" i="1"/>
  <c r="AA911" i="1"/>
  <c r="AH911" i="1" l="1"/>
  <c r="U912" i="1" s="1"/>
  <c r="AI911" i="1"/>
  <c r="V912" i="1" s="1"/>
  <c r="AF913" i="1" s="1"/>
  <c r="AA912" i="1"/>
  <c r="AD912" i="1"/>
  <c r="W912" i="1" l="1"/>
  <c r="AH912" i="1"/>
  <c r="W913" i="1" s="1"/>
  <c r="AI912" i="1"/>
  <c r="V913" i="1" s="1"/>
  <c r="AF914" i="1" s="1"/>
  <c r="X912" i="1"/>
  <c r="Z913" i="1"/>
  <c r="AC913" i="1"/>
  <c r="Y913" i="1"/>
  <c r="AE913" i="1"/>
  <c r="AG913" i="1" s="1"/>
  <c r="AB913" i="1"/>
  <c r="AD913" i="1" l="1"/>
  <c r="U913" i="1"/>
  <c r="AE914" i="1" s="1"/>
  <c r="AG914" i="1" s="1"/>
  <c r="AC914" i="1"/>
  <c r="Z914" i="1"/>
  <c r="AA913" i="1"/>
  <c r="AH913" i="1" s="1"/>
  <c r="X913" i="1"/>
  <c r="Y914" i="1" l="1"/>
  <c r="AB914" i="1"/>
  <c r="AI913" i="1"/>
  <c r="V914" i="1" s="1"/>
  <c r="AF915" i="1" s="1"/>
  <c r="AA914" i="1"/>
  <c r="AD914" i="1"/>
  <c r="AH914" i="1" l="1"/>
  <c r="AI914" i="1"/>
  <c r="U914" i="1"/>
  <c r="W914" i="1"/>
  <c r="Z915" i="1"/>
  <c r="AC915" i="1"/>
  <c r="X914" i="1"/>
  <c r="X915" i="1" l="1"/>
  <c r="V915" i="1"/>
  <c r="AF916" i="1" s="1"/>
  <c r="W915" i="1"/>
  <c r="AB915" i="1"/>
  <c r="AD915" i="1" s="1"/>
  <c r="AE915" i="1"/>
  <c r="AG915" i="1" s="1"/>
  <c r="U915" i="1"/>
  <c r="Y915" i="1"/>
  <c r="AC916" i="1" l="1"/>
  <c r="Z916" i="1"/>
  <c r="AE916" i="1"/>
  <c r="AG916" i="1" s="1"/>
  <c r="Y916" i="1"/>
  <c r="AB916" i="1"/>
  <c r="AD916" i="1" s="1"/>
  <c r="AA915" i="1"/>
  <c r="AH915" i="1" l="1"/>
  <c r="U916" i="1" s="1"/>
  <c r="AI915" i="1"/>
  <c r="AA916" i="1"/>
  <c r="AH916" i="1" s="1"/>
  <c r="W916" i="1" l="1"/>
  <c r="AI916" i="1"/>
  <c r="X917" i="1" s="1"/>
  <c r="X916" i="1"/>
  <c r="V916" i="1"/>
  <c r="AF917" i="1" s="1"/>
  <c r="U917" i="1"/>
  <c r="AE917" i="1"/>
  <c r="AB917" i="1"/>
  <c r="Y917" i="1"/>
  <c r="W917" i="1"/>
  <c r="Z917" i="1" l="1"/>
  <c r="AG917" i="1"/>
  <c r="AC917" i="1"/>
  <c r="AD917" i="1" s="1"/>
  <c r="V917" i="1"/>
  <c r="AF918" i="1" s="1"/>
  <c r="Y918" i="1"/>
  <c r="AB918" i="1"/>
  <c r="AE918" i="1"/>
  <c r="AA917" i="1" l="1"/>
  <c r="AH917" i="1" s="1"/>
  <c r="Z918" i="1"/>
  <c r="AC918" i="1"/>
  <c r="AD918" i="1" s="1"/>
  <c r="AG918" i="1"/>
  <c r="AA918" i="1" l="1"/>
  <c r="AH918" i="1" s="1"/>
  <c r="AI917" i="1"/>
  <c r="V918" i="1" s="1"/>
  <c r="AF919" i="1" s="1"/>
  <c r="W918" i="1"/>
  <c r="U918" i="1"/>
  <c r="X918" i="1" l="1"/>
  <c r="AI918" i="1"/>
  <c r="V919" i="1" s="1"/>
  <c r="AF920" i="1" s="1"/>
  <c r="W919" i="1"/>
  <c r="Z919" i="1"/>
  <c r="AC919" i="1"/>
  <c r="AE919" i="1"/>
  <c r="AG919" i="1" s="1"/>
  <c r="AB919" i="1"/>
  <c r="Y919" i="1"/>
  <c r="U919" i="1"/>
  <c r="X919" i="1" l="1"/>
  <c r="AB920" i="1"/>
  <c r="AE920" i="1"/>
  <c r="Y920" i="1"/>
  <c r="AA919" i="1"/>
  <c r="Z920" i="1"/>
  <c r="AC920" i="1"/>
  <c r="AD920" i="1" s="1"/>
  <c r="AD919" i="1"/>
  <c r="AG920" i="1" l="1"/>
  <c r="AH919" i="1"/>
  <c r="AI919" i="1"/>
  <c r="AA920" i="1"/>
  <c r="AH920" i="1" s="1"/>
  <c r="AI920" i="1" l="1"/>
  <c r="X920" i="1"/>
  <c r="V920" i="1"/>
  <c r="AF921" i="1" s="1"/>
  <c r="W920" i="1"/>
  <c r="U920" i="1"/>
  <c r="Y921" i="1" l="1"/>
  <c r="AB921" i="1"/>
  <c r="AE921" i="1"/>
  <c r="U921" i="1"/>
  <c r="W921" i="1"/>
  <c r="Z921" i="1"/>
  <c r="AC921" i="1"/>
  <c r="AD921" i="1" s="1"/>
  <c r="V921" i="1"/>
  <c r="AF922" i="1" s="1"/>
  <c r="X921" i="1"/>
  <c r="AG921" i="1" l="1"/>
  <c r="Z922" i="1"/>
  <c r="AC922" i="1"/>
  <c r="AE922" i="1"/>
  <c r="AG922" i="1" s="1"/>
  <c r="Y922" i="1"/>
  <c r="AB922" i="1"/>
  <c r="AD922" i="1" s="1"/>
  <c r="AA921" i="1"/>
  <c r="AH921" i="1" s="1"/>
  <c r="AI921" i="1" l="1"/>
  <c r="X922" i="1" s="1"/>
  <c r="W922" i="1"/>
  <c r="AA922" i="1"/>
  <c r="AI922" i="1" s="1"/>
  <c r="AH922" i="1" l="1"/>
  <c r="W923" i="1" s="1"/>
  <c r="X923" i="1"/>
  <c r="U922" i="1"/>
  <c r="AB923" i="1" s="1"/>
  <c r="V922" i="1"/>
  <c r="AF923" i="1" s="1"/>
  <c r="Z923" i="1" l="1"/>
  <c r="AE923" i="1"/>
  <c r="V923" i="1"/>
  <c r="AF924" i="1" s="1"/>
  <c r="AC923" i="1"/>
  <c r="AD923" i="1" s="1"/>
  <c r="U923" i="1"/>
  <c r="AE924" i="1" s="1"/>
  <c r="AG924" i="1" s="1"/>
  <c r="Y923" i="1"/>
  <c r="AC924" i="1" l="1"/>
  <c r="AG923" i="1"/>
  <c r="Z924" i="1"/>
  <c r="AA923" i="1"/>
  <c r="AB924" i="1"/>
  <c r="AD924" i="1" s="1"/>
  <c r="Y924" i="1"/>
  <c r="B3" i="2"/>
  <c r="AH923" i="1" l="1"/>
  <c r="W924" i="1" s="1"/>
  <c r="AI923" i="1"/>
  <c r="V924" i="1" s="1"/>
  <c r="AF925" i="1" s="1"/>
  <c r="AA924" i="1"/>
  <c r="AH924" i="1" s="1"/>
  <c r="U924" i="1" l="1"/>
  <c r="AB925" i="1" s="1"/>
  <c r="X924" i="1"/>
  <c r="AI924" i="1"/>
  <c r="X925" i="1" s="1"/>
  <c r="W925" i="1"/>
  <c r="Z925" i="1"/>
  <c r="AC925" i="1"/>
  <c r="C3" i="2"/>
  <c r="AE925" i="1" l="1"/>
  <c r="AG925" i="1" s="1"/>
  <c r="Y925" i="1"/>
  <c r="U925" i="1"/>
  <c r="AE926" i="1" s="1"/>
  <c r="V925" i="1"/>
  <c r="AF926" i="1" s="1"/>
  <c r="AA925" i="1"/>
  <c r="AD925" i="1"/>
  <c r="Y926" i="1" l="1"/>
  <c r="AB926" i="1"/>
  <c r="AC926" i="1"/>
  <c r="AD926" i="1" s="1"/>
  <c r="Z926" i="1"/>
  <c r="AG926" i="1"/>
  <c r="AH925" i="1"/>
  <c r="AI925" i="1"/>
  <c r="AA926" i="1"/>
  <c r="AH926" i="1" s="1"/>
  <c r="AI926" i="1" l="1"/>
  <c r="W926" i="1"/>
  <c r="U926" i="1"/>
  <c r="X926" i="1"/>
  <c r="V926" i="1"/>
  <c r="AF927" i="1" s="1"/>
  <c r="X927" i="1" l="1"/>
  <c r="AC927" i="1"/>
  <c r="Z927" i="1"/>
  <c r="V927" i="1"/>
  <c r="AF928" i="1" s="1"/>
  <c r="AB927" i="1"/>
  <c r="AE927" i="1"/>
  <c r="AG927" i="1" s="1"/>
  <c r="U927" i="1"/>
  <c r="Y927" i="1"/>
  <c r="W927" i="1"/>
  <c r="AE928" i="1" l="1"/>
  <c r="Y928" i="1"/>
  <c r="AB928" i="1"/>
  <c r="AC928" i="1"/>
  <c r="Z928" i="1"/>
  <c r="AA927" i="1"/>
  <c r="AD927" i="1"/>
  <c r="AH927" i="1" l="1"/>
  <c r="AG928" i="1"/>
  <c r="AI927" i="1"/>
  <c r="AD928" i="1"/>
  <c r="AA928" i="1"/>
  <c r="AH928" i="1" l="1"/>
  <c r="AI928" i="1"/>
  <c r="U928" i="1"/>
  <c r="W928" i="1"/>
  <c r="V928" i="1"/>
  <c r="AF929" i="1" s="1"/>
  <c r="X928" i="1"/>
  <c r="V929" i="1" l="1"/>
  <c r="AF930" i="1" s="1"/>
  <c r="Z929" i="1"/>
  <c r="AC929" i="1"/>
  <c r="X929" i="1"/>
  <c r="W929" i="1"/>
  <c r="AE929" i="1"/>
  <c r="AG929" i="1" s="1"/>
  <c r="AB929" i="1"/>
  <c r="Y929" i="1"/>
  <c r="U929" i="1"/>
  <c r="AD929" i="1" l="1"/>
  <c r="AE930" i="1"/>
  <c r="AB930" i="1"/>
  <c r="Y930" i="1"/>
  <c r="AA929" i="1"/>
  <c r="Z930" i="1"/>
  <c r="AC930" i="1"/>
  <c r="AG930" i="1" l="1"/>
  <c r="AI929" i="1"/>
  <c r="V930" i="1" s="1"/>
  <c r="AF931" i="1" s="1"/>
  <c r="AH929" i="1"/>
  <c r="AA930" i="1"/>
  <c r="AD930" i="1"/>
  <c r="AH930" i="1" l="1"/>
  <c r="AC931" i="1"/>
  <c r="Z931" i="1"/>
  <c r="X930" i="1"/>
  <c r="AI930" i="1"/>
  <c r="V931" i="1" s="1"/>
  <c r="AF932" i="1" s="1"/>
  <c r="W930" i="1"/>
  <c r="U930" i="1"/>
  <c r="W931" i="1" l="1"/>
  <c r="Z932" i="1"/>
  <c r="AC932" i="1"/>
  <c r="Y931" i="1"/>
  <c r="AB931" i="1"/>
  <c r="AD931" i="1" s="1"/>
  <c r="U931" i="1"/>
  <c r="AE931" i="1"/>
  <c r="AG931" i="1" s="1"/>
  <c r="X931" i="1"/>
  <c r="AB932" i="1" l="1"/>
  <c r="AD932" i="1" s="1"/>
  <c r="AE932" i="1"/>
  <c r="AG932" i="1" s="1"/>
  <c r="Y932" i="1"/>
  <c r="AA931" i="1"/>
  <c r="AH931" i="1" l="1"/>
  <c r="AI931" i="1"/>
  <c r="AA932" i="1"/>
  <c r="AH932" i="1" l="1"/>
  <c r="AI932" i="1"/>
  <c r="W932" i="1"/>
  <c r="U932" i="1"/>
  <c r="X932" i="1"/>
  <c r="V932" i="1"/>
  <c r="AF933" i="1" s="1"/>
  <c r="Y933" i="1" l="1"/>
  <c r="AB933" i="1"/>
  <c r="AE933" i="1"/>
  <c r="U933" i="1"/>
  <c r="W933" i="1"/>
  <c r="AC933" i="1"/>
  <c r="Z933" i="1"/>
  <c r="V933" i="1"/>
  <c r="AF934" i="1" s="1"/>
  <c r="X933" i="1"/>
  <c r="AG933" i="1" l="1"/>
  <c r="AC934" i="1"/>
  <c r="Z934" i="1"/>
  <c r="AD933" i="1"/>
  <c r="AB934" i="1"/>
  <c r="AD934" i="1" s="1"/>
  <c r="AE934" i="1"/>
  <c r="AG934" i="1" s="1"/>
  <c r="Y934" i="1"/>
  <c r="AA933" i="1"/>
  <c r="AH933" i="1" s="1"/>
  <c r="AI933" i="1" l="1"/>
  <c r="AA934" i="1"/>
  <c r="AH934" i="1" s="1"/>
  <c r="AI934" i="1" l="1"/>
  <c r="U934" i="1"/>
  <c r="W934" i="1"/>
  <c r="X934" i="1"/>
  <c r="V934" i="1"/>
  <c r="AF935" i="1" s="1"/>
  <c r="AC935" i="1" l="1"/>
  <c r="Z935" i="1"/>
  <c r="V935" i="1"/>
  <c r="AF936" i="1" s="1"/>
  <c r="X935" i="1"/>
  <c r="W935" i="1"/>
  <c r="AE935" i="1"/>
  <c r="AG935" i="1" s="1"/>
  <c r="Y935" i="1"/>
  <c r="U935" i="1"/>
  <c r="AB935" i="1"/>
  <c r="AA935" i="1" l="1"/>
  <c r="AC936" i="1"/>
  <c r="Z936" i="1"/>
  <c r="AD935" i="1"/>
  <c r="Y936" i="1"/>
  <c r="AB936" i="1"/>
  <c r="AE936" i="1"/>
  <c r="AG936" i="1" s="1"/>
  <c r="AH935" i="1" l="1"/>
  <c r="U936" i="1" s="1"/>
  <c r="AI935" i="1"/>
  <c r="V936" i="1" s="1"/>
  <c r="AF937" i="1" s="1"/>
  <c r="AD936" i="1"/>
  <c r="AA936" i="1"/>
  <c r="AH936" i="1" s="1"/>
  <c r="AI936" i="1" l="1"/>
  <c r="X937" i="1" s="1"/>
  <c r="X936" i="1"/>
  <c r="W936" i="1"/>
  <c r="AE937" i="1"/>
  <c r="AB937" i="1"/>
  <c r="Y937" i="1"/>
  <c r="Z937" i="1"/>
  <c r="AC937" i="1"/>
  <c r="W937" i="1"/>
  <c r="AG937" i="1" l="1"/>
  <c r="AA937" i="1"/>
  <c r="AD937" i="1"/>
  <c r="U937" i="1"/>
  <c r="V937" i="1"/>
  <c r="AF938" i="1" s="1"/>
  <c r="AH937" i="1" l="1"/>
  <c r="W938" i="1" s="1"/>
  <c r="AI937" i="1"/>
  <c r="X938" i="1" s="1"/>
  <c r="AC938" i="1"/>
  <c r="Z938" i="1"/>
  <c r="AE938" i="1"/>
  <c r="AG938" i="1" s="1"/>
  <c r="Y938" i="1"/>
  <c r="AB938" i="1"/>
  <c r="AD938" i="1" s="1"/>
  <c r="V938" i="1" l="1"/>
  <c r="AF939" i="1" s="1"/>
  <c r="U938" i="1"/>
  <c r="AA938" i="1"/>
  <c r="AI938" i="1" s="1"/>
  <c r="AC939" i="1"/>
  <c r="Z939" i="1"/>
  <c r="AH938" i="1" l="1"/>
  <c r="W939" i="1" s="1"/>
  <c r="X939" i="1"/>
  <c r="Y939" i="1"/>
  <c r="AB939" i="1"/>
  <c r="AD939" i="1" s="1"/>
  <c r="AE939" i="1"/>
  <c r="AG939" i="1" s="1"/>
  <c r="U939" i="1" l="1"/>
  <c r="AB940" i="1" s="1"/>
  <c r="V939" i="1"/>
  <c r="AF940" i="1" s="1"/>
  <c r="AE940" i="1"/>
  <c r="AA939" i="1"/>
  <c r="Y940" i="1" l="1"/>
  <c r="AC940" i="1"/>
  <c r="Z940" i="1"/>
  <c r="AG940" i="1"/>
  <c r="AH939" i="1"/>
  <c r="AI939" i="1"/>
  <c r="AA940" i="1"/>
  <c r="AD940" i="1"/>
  <c r="AH940" i="1" l="1"/>
  <c r="AI940" i="1"/>
  <c r="W940" i="1"/>
  <c r="U940" i="1"/>
  <c r="V940" i="1"/>
  <c r="AF941" i="1" s="1"/>
  <c r="X940" i="1"/>
  <c r="X941" i="1" l="1"/>
  <c r="AC941" i="1"/>
  <c r="Z941" i="1"/>
  <c r="V941" i="1"/>
  <c r="AF942" i="1" s="1"/>
  <c r="AE941" i="1"/>
  <c r="AG941" i="1" s="1"/>
  <c r="Y941" i="1"/>
  <c r="AB941" i="1"/>
  <c r="U941" i="1"/>
  <c r="W941" i="1"/>
  <c r="AC942" i="1" l="1"/>
  <c r="Z942" i="1"/>
  <c r="Y942" i="1"/>
  <c r="AE942" i="1"/>
  <c r="AG942" i="1" s="1"/>
  <c r="AB942" i="1"/>
  <c r="AD942" i="1" s="1"/>
  <c r="AA941" i="1"/>
  <c r="AD941" i="1"/>
  <c r="AH941" i="1" l="1"/>
  <c r="AI941" i="1"/>
  <c r="V942" i="1" s="1"/>
  <c r="AF943" i="1" s="1"/>
  <c r="AA942" i="1"/>
  <c r="AH942" i="1" s="1"/>
  <c r="AI942" i="1" l="1"/>
  <c r="X943" i="1" s="1"/>
  <c r="X942" i="1"/>
  <c r="U942" i="1"/>
  <c r="W942" i="1"/>
  <c r="AC943" i="1"/>
  <c r="Z943" i="1"/>
  <c r="V943" i="1" l="1"/>
  <c r="AF944" i="1" s="1"/>
  <c r="W943" i="1"/>
  <c r="U943" i="1"/>
  <c r="Y943" i="1"/>
  <c r="AB943" i="1"/>
  <c r="AD943" i="1" s="1"/>
  <c r="AE943" i="1"/>
  <c r="AG943" i="1" s="1"/>
  <c r="AB944" i="1" l="1"/>
  <c r="Y944" i="1"/>
  <c r="AE944" i="1"/>
  <c r="AC944" i="1"/>
  <c r="Z944" i="1"/>
  <c r="AA943" i="1"/>
  <c r="AG944" i="1" l="1"/>
  <c r="AH943" i="1"/>
  <c r="W944" i="1" s="1"/>
  <c r="AI943" i="1"/>
  <c r="AA944" i="1"/>
  <c r="AD944" i="1"/>
  <c r="AH944" i="1" l="1"/>
  <c r="U945" i="1" s="1"/>
  <c r="U944" i="1"/>
  <c r="AI944" i="1"/>
  <c r="X944" i="1"/>
  <c r="V944" i="1"/>
  <c r="AF945" i="1" s="1"/>
  <c r="AB945" i="1"/>
  <c r="Y945" i="1"/>
  <c r="AE945" i="1"/>
  <c r="X945" i="1" l="1"/>
  <c r="Y946" i="1"/>
  <c r="AE946" i="1"/>
  <c r="AB946" i="1"/>
  <c r="W945" i="1"/>
  <c r="AC945" i="1"/>
  <c r="AD945" i="1" s="1"/>
  <c r="AG945" i="1"/>
  <c r="Z945" i="1"/>
  <c r="V945" i="1"/>
  <c r="AF946" i="1" s="1"/>
  <c r="AC946" i="1" l="1"/>
  <c r="Z946" i="1"/>
  <c r="AG946" i="1"/>
  <c r="AD946" i="1"/>
  <c r="AA945" i="1"/>
  <c r="AH945" i="1" s="1"/>
  <c r="AA946" i="1"/>
  <c r="AI946" i="1" l="1"/>
  <c r="AI945" i="1"/>
  <c r="AH946" i="1"/>
  <c r="X946" i="1" l="1"/>
  <c r="X947" i="1" s="1"/>
  <c r="V946" i="1"/>
  <c r="AF947" i="1" s="1"/>
  <c r="U946" i="1"/>
  <c r="W946" i="1"/>
  <c r="W947" i="1" s="1"/>
  <c r="Y947" i="1" l="1"/>
  <c r="AB947" i="1"/>
  <c r="AE947" i="1"/>
  <c r="U947" i="1"/>
  <c r="AC947" i="1"/>
  <c r="Z947" i="1"/>
  <c r="V947" i="1"/>
  <c r="AF948" i="1" s="1"/>
  <c r="AG947" i="1" l="1"/>
  <c r="Y948" i="1"/>
  <c r="AE948" i="1"/>
  <c r="AB948" i="1"/>
  <c r="Z948" i="1"/>
  <c r="AC948" i="1"/>
  <c r="AD947" i="1"/>
  <c r="AA947" i="1"/>
  <c r="AH947" i="1" l="1"/>
  <c r="W948" i="1" s="1"/>
  <c r="AG948" i="1"/>
  <c r="AI947" i="1"/>
  <c r="AD948" i="1"/>
  <c r="AA948" i="1"/>
  <c r="AH948" i="1" s="1"/>
  <c r="AI948" i="1" l="1"/>
  <c r="U948" i="1"/>
  <c r="U949" i="1" s="1"/>
  <c r="X948" i="1"/>
  <c r="V948" i="1"/>
  <c r="AF949" i="1" s="1"/>
  <c r="Y949" i="1" l="1"/>
  <c r="AB949" i="1"/>
  <c r="AE949" i="1"/>
  <c r="W949" i="1"/>
  <c r="X949" i="1"/>
  <c r="AE950" i="1"/>
  <c r="Y950" i="1"/>
  <c r="AB950" i="1"/>
  <c r="Z949" i="1"/>
  <c r="AA949" i="1" s="1"/>
  <c r="AC949" i="1"/>
  <c r="AD949" i="1" s="1"/>
  <c r="AG949" i="1"/>
  <c r="V949" i="1"/>
  <c r="AF950" i="1" s="1"/>
  <c r="AH949" i="1" l="1"/>
  <c r="AI949" i="1"/>
  <c r="X950" i="1" s="1"/>
  <c r="AC950" i="1"/>
  <c r="Z950" i="1"/>
  <c r="AG950" i="1"/>
  <c r="AD950" i="1"/>
  <c r="AA950" i="1"/>
  <c r="AH950" i="1" l="1"/>
  <c r="AI950" i="1"/>
  <c r="U950" i="1"/>
  <c r="W950" i="1"/>
  <c r="V950" i="1"/>
  <c r="AF951" i="1" s="1"/>
  <c r="V951" i="1" l="1"/>
  <c r="AF952" i="1" s="1"/>
  <c r="W951" i="1"/>
  <c r="X951" i="1"/>
  <c r="Y951" i="1"/>
  <c r="AB951" i="1"/>
  <c r="AE951" i="1"/>
  <c r="U951" i="1"/>
  <c r="AC951" i="1"/>
  <c r="Z951" i="1"/>
  <c r="AC952" i="1" l="1"/>
  <c r="AG951" i="1"/>
  <c r="Z952" i="1"/>
  <c r="AD951" i="1"/>
  <c r="AA951" i="1"/>
  <c r="AH951" i="1" s="1"/>
  <c r="Y952" i="1"/>
  <c r="AB952" i="1"/>
  <c r="AD952" i="1" s="1"/>
  <c r="AE952" i="1"/>
  <c r="AG952" i="1" s="1"/>
  <c r="AI951" i="1" l="1"/>
  <c r="X952" i="1" s="1"/>
  <c r="AA952" i="1"/>
  <c r="AH952" i="1" s="1"/>
  <c r="AI952" i="1" l="1"/>
  <c r="V952" i="1"/>
  <c r="AF953" i="1" s="1"/>
  <c r="W952" i="1"/>
  <c r="U952" i="1"/>
  <c r="Z953" i="1" l="1"/>
  <c r="AC953" i="1"/>
  <c r="V953" i="1"/>
  <c r="AF954" i="1" s="1"/>
  <c r="X953" i="1"/>
  <c r="W953" i="1"/>
  <c r="AE953" i="1"/>
  <c r="AG953" i="1" s="1"/>
  <c r="Y953" i="1"/>
  <c r="AB953" i="1"/>
  <c r="AD953" i="1" s="1"/>
  <c r="U953" i="1"/>
  <c r="AA953" i="1" l="1"/>
  <c r="AH953" i="1" s="1"/>
  <c r="AB954" i="1"/>
  <c r="AE954" i="1"/>
  <c r="Y954" i="1"/>
  <c r="Z954" i="1"/>
  <c r="AC954" i="1"/>
  <c r="AG954" i="1" l="1"/>
  <c r="AI953" i="1"/>
  <c r="AD954" i="1"/>
  <c r="AA954" i="1"/>
  <c r="AI954" i="1" l="1"/>
  <c r="AH954" i="1"/>
  <c r="U954" i="1"/>
  <c r="W954" i="1"/>
  <c r="X954" i="1"/>
  <c r="X955" i="1" s="1"/>
  <c r="V954" i="1"/>
  <c r="AF955" i="1" s="1"/>
  <c r="W955" i="1" l="1"/>
  <c r="Z955" i="1"/>
  <c r="AC955" i="1"/>
  <c r="V955" i="1"/>
  <c r="AF956" i="1" s="1"/>
  <c r="AB955" i="1"/>
  <c r="AD955" i="1" s="1"/>
  <c r="Y955" i="1"/>
  <c r="AE955" i="1"/>
  <c r="AG955" i="1" s="1"/>
  <c r="U955" i="1"/>
  <c r="AA955" i="1" l="1"/>
  <c r="AH955" i="1" s="1"/>
  <c r="Z956" i="1"/>
  <c r="AC956" i="1"/>
  <c r="AE956" i="1"/>
  <c r="AG956" i="1" s="1"/>
  <c r="AB956" i="1"/>
  <c r="AD956" i="1" s="1"/>
  <c r="Y956" i="1"/>
  <c r="AI955" i="1" l="1"/>
  <c r="X956" i="1" s="1"/>
  <c r="AA956" i="1"/>
  <c r="AH956" i="1" s="1"/>
  <c r="V956" i="1" l="1"/>
  <c r="AF957" i="1" s="1"/>
  <c r="AI956" i="1"/>
  <c r="W956" i="1"/>
  <c r="U956" i="1"/>
  <c r="AC957" i="1" l="1"/>
  <c r="Z957" i="1"/>
  <c r="W957" i="1"/>
  <c r="Y957" i="1"/>
  <c r="AB957" i="1"/>
  <c r="AD957" i="1" s="1"/>
  <c r="AE957" i="1"/>
  <c r="AG957" i="1" s="1"/>
  <c r="U957" i="1"/>
  <c r="V957" i="1"/>
  <c r="AF958" i="1" s="1"/>
  <c r="X957" i="1"/>
  <c r="AE958" i="1" l="1"/>
  <c r="AB958" i="1"/>
  <c r="Y958" i="1"/>
  <c r="Z958" i="1"/>
  <c r="AC958" i="1"/>
  <c r="AA957" i="1"/>
  <c r="AG958" i="1" l="1"/>
  <c r="AH957" i="1"/>
  <c r="AI957" i="1"/>
  <c r="AA958" i="1"/>
  <c r="AD958" i="1"/>
  <c r="AH958" i="1" l="1"/>
  <c r="AI958" i="1"/>
  <c r="X958" i="1"/>
  <c r="V958" i="1"/>
  <c r="AF959" i="1" s="1"/>
  <c r="W958" i="1"/>
  <c r="U958" i="1"/>
  <c r="AE959" i="1" l="1"/>
  <c r="AB959" i="1"/>
  <c r="Y959" i="1"/>
  <c r="U959" i="1"/>
  <c r="W959" i="1"/>
  <c r="AC959" i="1"/>
  <c r="Z959" i="1"/>
  <c r="V959" i="1"/>
  <c r="AF960" i="1" s="1"/>
  <c r="X959" i="1"/>
  <c r="AG959" i="1" l="1"/>
  <c r="AB960" i="1"/>
  <c r="AE960" i="1"/>
  <c r="Y960" i="1"/>
  <c r="AA959" i="1"/>
  <c r="AD959" i="1"/>
  <c r="Z960" i="1"/>
  <c r="AC960" i="1"/>
  <c r="AG960" i="1" l="1"/>
  <c r="AH959" i="1"/>
  <c r="AI959" i="1"/>
  <c r="X960" i="1" s="1"/>
  <c r="AD960" i="1"/>
  <c r="AA960" i="1"/>
  <c r="AH960" i="1" l="1"/>
  <c r="AI960" i="1"/>
  <c r="X961" i="1" s="1"/>
  <c r="V960" i="1"/>
  <c r="AF961" i="1" s="1"/>
  <c r="U960" i="1"/>
  <c r="W960" i="1"/>
  <c r="Z961" i="1" l="1"/>
  <c r="AC961" i="1"/>
  <c r="U961" i="1"/>
  <c r="AB961" i="1"/>
  <c r="AD961" i="1" s="1"/>
  <c r="AE961" i="1"/>
  <c r="AG961" i="1" s="1"/>
  <c r="Y961" i="1"/>
  <c r="W961" i="1"/>
  <c r="V961" i="1"/>
  <c r="AF962" i="1" s="1"/>
  <c r="AC962" i="1" l="1"/>
  <c r="Z962" i="1"/>
  <c r="Y962" i="1"/>
  <c r="AE962" i="1"/>
  <c r="AG962" i="1" s="1"/>
  <c r="AB962" i="1"/>
  <c r="AD962" i="1" s="1"/>
  <c r="AA961" i="1"/>
  <c r="AH961" i="1" l="1"/>
  <c r="AI961" i="1"/>
  <c r="AA962" i="1"/>
  <c r="AI962" i="1" s="1"/>
  <c r="AH962" i="1" l="1"/>
  <c r="W962" i="1"/>
  <c r="U962" i="1"/>
  <c r="X962" i="1"/>
  <c r="X963" i="1" s="1"/>
  <c r="V962" i="1"/>
  <c r="AF963" i="1" s="1"/>
  <c r="U963" i="1" l="1"/>
  <c r="AE963" i="1"/>
  <c r="Y963" i="1"/>
  <c r="AB963" i="1"/>
  <c r="V963" i="1"/>
  <c r="AF964" i="1" s="1"/>
  <c r="AC963" i="1"/>
  <c r="Z963" i="1"/>
  <c r="W963" i="1"/>
  <c r="AG963" i="1" l="1"/>
  <c r="Z964" i="1"/>
  <c r="AC964" i="1"/>
  <c r="AD963" i="1"/>
  <c r="AA963" i="1"/>
  <c r="AH963" i="1" s="1"/>
  <c r="Y964" i="1"/>
  <c r="AB964" i="1"/>
  <c r="AD964" i="1" s="1"/>
  <c r="AE964" i="1"/>
  <c r="AG964" i="1" s="1"/>
  <c r="AI963" i="1" l="1"/>
  <c r="AA964" i="1"/>
  <c r="AH964" i="1" s="1"/>
  <c r="AI964" i="1" l="1"/>
  <c r="V964" i="1"/>
  <c r="AF965" i="1" s="1"/>
  <c r="X964" i="1"/>
  <c r="W964" i="1"/>
  <c r="U964" i="1"/>
  <c r="X965" i="1" l="1"/>
  <c r="U965" i="1"/>
  <c r="AB965" i="1"/>
  <c r="Y965" i="1"/>
  <c r="AE965" i="1"/>
  <c r="AG965" i="1" s="1"/>
  <c r="W965" i="1"/>
  <c r="AC965" i="1"/>
  <c r="Z965" i="1"/>
  <c r="V965" i="1"/>
  <c r="AF966" i="1" s="1"/>
  <c r="AC966" i="1" l="1"/>
  <c r="Z966" i="1"/>
  <c r="AA965" i="1"/>
  <c r="AD965" i="1"/>
  <c r="AB966" i="1"/>
  <c r="AE966" i="1"/>
  <c r="AG966" i="1" s="1"/>
  <c r="Y966" i="1"/>
  <c r="AI965" i="1" l="1"/>
  <c r="X966" i="1" s="1"/>
  <c r="AH965" i="1"/>
  <c r="AD966" i="1"/>
  <c r="AA966" i="1"/>
  <c r="AH966" i="1" s="1"/>
  <c r="V966" i="1" l="1"/>
  <c r="AF967" i="1" s="1"/>
  <c r="AI966" i="1"/>
  <c r="X967" i="1" s="1"/>
  <c r="W966" i="1"/>
  <c r="U966" i="1"/>
  <c r="Z967" i="1"/>
  <c r="AC967" i="1"/>
  <c r="V967" i="1" l="1"/>
  <c r="AF968" i="1" s="1"/>
  <c r="AE967" i="1"/>
  <c r="AG967" i="1" s="1"/>
  <c r="U967" i="1"/>
  <c r="AB967" i="1"/>
  <c r="AD967" i="1" s="1"/>
  <c r="Y967" i="1"/>
  <c r="W967" i="1"/>
  <c r="AA967" i="1" l="1"/>
  <c r="AB968" i="1"/>
  <c r="Y968" i="1"/>
  <c r="AE968" i="1"/>
  <c r="AC968" i="1"/>
  <c r="Z968" i="1"/>
  <c r="AG968" i="1" l="1"/>
  <c r="AH967" i="1"/>
  <c r="AI967" i="1"/>
  <c r="AD968" i="1"/>
  <c r="AA968" i="1"/>
  <c r="AH968" i="1" l="1"/>
  <c r="AI968" i="1"/>
  <c r="W968" i="1"/>
  <c r="U968" i="1"/>
  <c r="X968" i="1"/>
  <c r="V968" i="1"/>
  <c r="AF969" i="1" s="1"/>
  <c r="X969" i="1" l="1"/>
  <c r="Z969" i="1"/>
  <c r="AC969" i="1"/>
  <c r="V969" i="1"/>
  <c r="AF970" i="1" s="1"/>
  <c r="Y969" i="1"/>
  <c r="AB969" i="1"/>
  <c r="AD969" i="1" s="1"/>
  <c r="AE969" i="1"/>
  <c r="AG969" i="1" s="1"/>
  <c r="U969" i="1"/>
  <c r="W969" i="1"/>
  <c r="AE970" i="1" l="1"/>
  <c r="Y970" i="1"/>
  <c r="AB970" i="1"/>
  <c r="Z970" i="1"/>
  <c r="AC970" i="1"/>
  <c r="AA969" i="1"/>
  <c r="AG970" i="1" l="1"/>
  <c r="AI969" i="1"/>
  <c r="X970" i="1" s="1"/>
  <c r="AH969" i="1"/>
  <c r="AD970" i="1"/>
  <c r="AA970" i="1"/>
  <c r="AH970" i="1" l="1"/>
  <c r="V970" i="1"/>
  <c r="AF971" i="1" s="1"/>
  <c r="AI970" i="1"/>
  <c r="V971" i="1" s="1"/>
  <c r="AF972" i="1" s="1"/>
  <c r="U970" i="1"/>
  <c r="W970" i="1"/>
  <c r="Z972" i="1" l="1"/>
  <c r="AC971" i="1"/>
  <c r="Z971" i="1"/>
  <c r="X971" i="1"/>
  <c r="AC972" i="1"/>
  <c r="AE971" i="1"/>
  <c r="AG971" i="1" s="1"/>
  <c r="Y971" i="1"/>
  <c r="AB971" i="1"/>
  <c r="AD971" i="1" s="1"/>
  <c r="U971" i="1"/>
  <c r="W971" i="1"/>
  <c r="AA971" i="1" l="1"/>
  <c r="AE972" i="1"/>
  <c r="AG972" i="1" s="1"/>
  <c r="AB972" i="1"/>
  <c r="AD972" i="1" s="1"/>
  <c r="Y972" i="1"/>
  <c r="AH971" i="1" l="1"/>
  <c r="W972" i="1" s="1"/>
  <c r="AI971" i="1"/>
  <c r="AA972" i="1"/>
  <c r="U972" i="1" l="1"/>
  <c r="AH972" i="1"/>
  <c r="W973" i="1" s="1"/>
  <c r="AI972" i="1"/>
  <c r="V972" i="1"/>
  <c r="AF973" i="1" s="1"/>
  <c r="X972" i="1"/>
  <c r="Y973" i="1"/>
  <c r="AB973" i="1"/>
  <c r="AE973" i="1"/>
  <c r="V973" i="1" l="1"/>
  <c r="AF974" i="1" s="1"/>
  <c r="U973" i="1"/>
  <c r="X973" i="1"/>
  <c r="AC973" i="1"/>
  <c r="AD973" i="1" s="1"/>
  <c r="AG973" i="1"/>
  <c r="Z973" i="1"/>
  <c r="Z974" i="1"/>
  <c r="AC974" i="1"/>
  <c r="AA973" i="1" l="1"/>
  <c r="AH973" i="1" s="1"/>
  <c r="AB974" i="1"/>
  <c r="AD974" i="1" s="1"/>
  <c r="Y974" i="1"/>
  <c r="AE974" i="1"/>
  <c r="AG974" i="1" s="1"/>
  <c r="AI973" i="1" l="1"/>
  <c r="AA974" i="1"/>
  <c r="AH974" i="1" l="1"/>
  <c r="AI974" i="1"/>
  <c r="W974" i="1"/>
  <c r="U974" i="1"/>
  <c r="V974" i="1"/>
  <c r="AF975" i="1" s="1"/>
  <c r="X974" i="1"/>
  <c r="W975" i="1" l="1"/>
  <c r="Z975" i="1"/>
  <c r="AC975" i="1"/>
  <c r="V975" i="1"/>
  <c r="AF976" i="1" s="1"/>
  <c r="AE975" i="1"/>
  <c r="AG975" i="1" s="1"/>
  <c r="Y975" i="1"/>
  <c r="AB975" i="1"/>
  <c r="U975" i="1"/>
  <c r="X975" i="1"/>
  <c r="AE976" i="1" l="1"/>
  <c r="Y976" i="1"/>
  <c r="AB976" i="1"/>
  <c r="AD975" i="1"/>
  <c r="AA975" i="1"/>
  <c r="AH975" i="1" s="1"/>
  <c r="Z976" i="1"/>
  <c r="AC976" i="1"/>
  <c r="AG976" i="1" l="1"/>
  <c r="AI975" i="1"/>
  <c r="AD976" i="1"/>
  <c r="AA976" i="1"/>
  <c r="AH976" i="1" s="1"/>
  <c r="AI976" i="1" l="1"/>
  <c r="W976" i="1"/>
  <c r="U976" i="1"/>
  <c r="X976" i="1"/>
  <c r="V976" i="1"/>
  <c r="AF977" i="1" s="1"/>
  <c r="X977" i="1" l="1"/>
  <c r="W977" i="1"/>
  <c r="Z977" i="1"/>
  <c r="AC977" i="1"/>
  <c r="V977" i="1"/>
  <c r="AF978" i="1" s="1"/>
  <c r="AB977" i="1"/>
  <c r="Y977" i="1"/>
  <c r="AE977" i="1"/>
  <c r="AG977" i="1" s="1"/>
  <c r="U977" i="1"/>
  <c r="AD977" i="1" l="1"/>
  <c r="AB978" i="1"/>
  <c r="AE978" i="1"/>
  <c r="Y978" i="1"/>
  <c r="AC978" i="1"/>
  <c r="AD978" i="1" s="1"/>
  <c r="Z978" i="1"/>
  <c r="AA977" i="1"/>
  <c r="AH977" i="1" s="1"/>
  <c r="AG978" i="1" l="1"/>
  <c r="AI977" i="1"/>
  <c r="X978" i="1" s="1"/>
  <c r="AA978" i="1"/>
  <c r="AH978" i="1" s="1"/>
  <c r="AI978" i="1" l="1"/>
  <c r="V979" i="1" s="1"/>
  <c r="AF980" i="1" s="1"/>
  <c r="V978" i="1"/>
  <c r="AF979" i="1" s="1"/>
  <c r="W978" i="1"/>
  <c r="U978" i="1"/>
  <c r="AC979" i="1"/>
  <c r="Z979" i="1"/>
  <c r="X979" i="1" l="1"/>
  <c r="AC980" i="1"/>
  <c r="Z980" i="1"/>
  <c r="Y979" i="1"/>
  <c r="AE979" i="1"/>
  <c r="AG979" i="1" s="1"/>
  <c r="AB979" i="1"/>
  <c r="AD979" i="1" s="1"/>
  <c r="U979" i="1"/>
  <c r="W979" i="1"/>
  <c r="Y980" i="1" l="1"/>
  <c r="AE980" i="1"/>
  <c r="AG980" i="1" s="1"/>
  <c r="AB980" i="1"/>
  <c r="AD980" i="1" s="1"/>
  <c r="AA979" i="1"/>
  <c r="AH979" i="1" l="1"/>
  <c r="W980" i="1" s="1"/>
  <c r="AI979" i="1"/>
  <c r="AA980" i="1"/>
  <c r="U980" i="1" l="1"/>
  <c r="AH980" i="1"/>
  <c r="W981" i="1" s="1"/>
  <c r="AI980" i="1"/>
  <c r="V980" i="1"/>
  <c r="AF981" i="1" s="1"/>
  <c r="X980" i="1"/>
  <c r="AB981" i="1"/>
  <c r="Y981" i="1"/>
  <c r="AE981" i="1"/>
  <c r="V981" i="1" l="1"/>
  <c r="AF982" i="1" s="1"/>
  <c r="U981" i="1"/>
  <c r="X981" i="1"/>
  <c r="Z981" i="1"/>
  <c r="AC981" i="1"/>
  <c r="AD981" i="1" s="1"/>
  <c r="AG981" i="1"/>
  <c r="AC982" i="1"/>
  <c r="Z982" i="1"/>
  <c r="AA981" i="1" l="1"/>
  <c r="AH981" i="1" s="1"/>
  <c r="AE982" i="1"/>
  <c r="AG982" i="1" s="1"/>
  <c r="AB982" i="1"/>
  <c r="AD982" i="1" s="1"/>
  <c r="Y982" i="1"/>
  <c r="AI981" i="1" l="1"/>
  <c r="AA982" i="1"/>
  <c r="AH982" i="1" l="1"/>
  <c r="AI982" i="1"/>
  <c r="W982" i="1"/>
  <c r="U982" i="1"/>
  <c r="V982" i="1"/>
  <c r="AF983" i="1" s="1"/>
  <c r="X982" i="1"/>
  <c r="Z983" i="1" l="1"/>
  <c r="AC983" i="1"/>
  <c r="V983" i="1"/>
  <c r="AF984" i="1" s="1"/>
  <c r="Y983" i="1"/>
  <c r="AE983" i="1"/>
  <c r="AG983" i="1" s="1"/>
  <c r="AB983" i="1"/>
  <c r="U983" i="1"/>
  <c r="X983" i="1"/>
  <c r="W983" i="1"/>
  <c r="AC984" i="1" l="1"/>
  <c r="Z984" i="1"/>
  <c r="Y984" i="1"/>
  <c r="AE984" i="1"/>
  <c r="AG984" i="1" s="1"/>
  <c r="AB984" i="1"/>
  <c r="AD984" i="1" s="1"/>
  <c r="AD983" i="1"/>
  <c r="AA983" i="1"/>
  <c r="AH983" i="1" l="1"/>
  <c r="AI983" i="1"/>
  <c r="AA984" i="1"/>
  <c r="AH984" i="1" s="1"/>
  <c r="AI984" i="1" l="1"/>
  <c r="W984" i="1"/>
  <c r="U984" i="1"/>
  <c r="X984" i="1"/>
  <c r="V984" i="1"/>
  <c r="AF985" i="1" s="1"/>
  <c r="Z985" i="1" l="1"/>
  <c r="AC985" i="1"/>
  <c r="V985" i="1"/>
  <c r="AF986" i="1" s="1"/>
  <c r="X985" i="1"/>
  <c r="Y985" i="1"/>
  <c r="AE985" i="1"/>
  <c r="AG985" i="1" s="1"/>
  <c r="AB985" i="1"/>
  <c r="U985" i="1"/>
  <c r="W985" i="1"/>
  <c r="Y986" i="1" l="1"/>
  <c r="AE986" i="1"/>
  <c r="AB986" i="1"/>
  <c r="AD985" i="1"/>
  <c r="AA985" i="1"/>
  <c r="AH985" i="1" s="1"/>
  <c r="Z986" i="1"/>
  <c r="AC986" i="1"/>
  <c r="AG986" i="1" l="1"/>
  <c r="AI985" i="1"/>
  <c r="AD986" i="1"/>
  <c r="AA986" i="1"/>
  <c r="AH986" i="1" l="1"/>
  <c r="AI986" i="1"/>
  <c r="X986" i="1"/>
  <c r="V986" i="1"/>
  <c r="AF987" i="1" s="1"/>
  <c r="U986" i="1"/>
  <c r="W986" i="1"/>
  <c r="V987" i="1" l="1"/>
  <c r="AF988" i="1" s="1"/>
  <c r="AE987" i="1"/>
  <c r="Y987" i="1"/>
  <c r="AB987" i="1"/>
  <c r="U987" i="1"/>
  <c r="Z988" i="1"/>
  <c r="AC988" i="1"/>
  <c r="Z987" i="1"/>
  <c r="AC987" i="1"/>
  <c r="W987" i="1"/>
  <c r="X987" i="1"/>
  <c r="AG987" i="1" l="1"/>
  <c r="AB988" i="1"/>
  <c r="AD988" i="1" s="1"/>
  <c r="AE988" i="1"/>
  <c r="AG988" i="1" s="1"/>
  <c r="Y988" i="1"/>
  <c r="AD987" i="1"/>
  <c r="AA987" i="1"/>
  <c r="AH987" i="1" l="1"/>
  <c r="AI987" i="1"/>
  <c r="AA988" i="1"/>
  <c r="AH988" i="1" l="1"/>
  <c r="AI988" i="1"/>
  <c r="W988" i="1"/>
  <c r="U988" i="1"/>
  <c r="V988" i="1"/>
  <c r="AF989" i="1" s="1"/>
  <c r="X988" i="1"/>
  <c r="X989" i="1" l="1"/>
  <c r="AC989" i="1"/>
  <c r="Z989" i="1"/>
  <c r="Y989" i="1"/>
  <c r="AE989" i="1"/>
  <c r="AG989" i="1" s="1"/>
  <c r="AB989" i="1"/>
  <c r="U989" i="1"/>
  <c r="W989" i="1"/>
  <c r="V989" i="1"/>
  <c r="AF990" i="1" s="1"/>
  <c r="AC990" i="1" l="1"/>
  <c r="Z990" i="1"/>
  <c r="AE990" i="1"/>
  <c r="AG990" i="1" s="1"/>
  <c r="AB990" i="1"/>
  <c r="AD990" i="1" s="1"/>
  <c r="Y990" i="1"/>
  <c r="AD989" i="1"/>
  <c r="AA989" i="1"/>
  <c r="AH989" i="1" l="1"/>
  <c r="AI989" i="1"/>
  <c r="AA990" i="1"/>
  <c r="AH990" i="1" s="1"/>
  <c r="AI990" i="1" l="1"/>
  <c r="W990" i="1"/>
  <c r="U990" i="1"/>
  <c r="X990" i="1"/>
  <c r="V990" i="1"/>
  <c r="AF991" i="1" s="1"/>
  <c r="X991" i="1" l="1"/>
  <c r="AE991" i="1"/>
  <c r="Y991" i="1"/>
  <c r="AB991" i="1"/>
  <c r="U991" i="1"/>
  <c r="AC991" i="1"/>
  <c r="Z991" i="1"/>
  <c r="V991" i="1"/>
  <c r="AF992" i="1" s="1"/>
  <c r="W991" i="1"/>
  <c r="AG991" i="1" l="1"/>
  <c r="AC992" i="1"/>
  <c r="Z992" i="1"/>
  <c r="AE992" i="1"/>
  <c r="AG992" i="1" s="1"/>
  <c r="AB992" i="1"/>
  <c r="AD992" i="1" s="1"/>
  <c r="Y992" i="1"/>
  <c r="AA991" i="1"/>
  <c r="AD991" i="1"/>
  <c r="AH991" i="1" l="1"/>
  <c r="AI991" i="1"/>
  <c r="AA992" i="1"/>
  <c r="AH992" i="1" s="1"/>
  <c r="AI992" i="1" l="1"/>
  <c r="X992" i="1"/>
  <c r="V992" i="1"/>
  <c r="AF993" i="1" s="1"/>
  <c r="W992" i="1"/>
  <c r="W993" i="1" s="1"/>
  <c r="U992" i="1"/>
  <c r="V993" i="1" l="1"/>
  <c r="AF994" i="1" s="1"/>
  <c r="AE993" i="1"/>
  <c r="Y993" i="1"/>
  <c r="AB993" i="1"/>
  <c r="U993" i="1"/>
  <c r="AC993" i="1"/>
  <c r="Z993" i="1"/>
  <c r="X993" i="1"/>
  <c r="AC994" i="1" l="1"/>
  <c r="AG993" i="1"/>
  <c r="Z994" i="1"/>
  <c r="AD993" i="1"/>
  <c r="AE994" i="1"/>
  <c r="AG994" i="1" s="1"/>
  <c r="Y994" i="1"/>
  <c r="AB994" i="1"/>
  <c r="AD994" i="1" s="1"/>
  <c r="AA993" i="1"/>
  <c r="AH993" i="1" s="1"/>
  <c r="AI993" i="1" l="1"/>
  <c r="AA994" i="1"/>
  <c r="AH994" i="1" l="1"/>
  <c r="AI994" i="1"/>
  <c r="W994" i="1"/>
  <c r="U994" i="1"/>
  <c r="X994" i="1"/>
  <c r="V994" i="1"/>
  <c r="AF995" i="1" s="1"/>
  <c r="X995" i="1" l="1"/>
  <c r="Z995" i="1"/>
  <c r="AC995" i="1"/>
  <c r="W995" i="1"/>
  <c r="Y995" i="1"/>
  <c r="AB995" i="1"/>
  <c r="AD995" i="1" s="1"/>
  <c r="AE995" i="1"/>
  <c r="AG995" i="1" s="1"/>
  <c r="U995" i="1"/>
  <c r="V995" i="1"/>
  <c r="AF996" i="1" s="1"/>
  <c r="AC996" i="1" l="1"/>
  <c r="Z996" i="1"/>
  <c r="AE996" i="1"/>
  <c r="AG996" i="1" s="1"/>
  <c r="Y996" i="1"/>
  <c r="AB996" i="1"/>
  <c r="AA995" i="1"/>
  <c r="AH995" i="1" s="1"/>
  <c r="AI995" i="1" l="1"/>
  <c r="AA996" i="1"/>
  <c r="AD996" i="1"/>
  <c r="AH996" i="1" l="1"/>
  <c r="AI996" i="1"/>
  <c r="W996" i="1"/>
  <c r="U996" i="1"/>
  <c r="X996" i="1"/>
  <c r="V996" i="1"/>
  <c r="AF997" i="1" s="1"/>
  <c r="X997" i="1" l="1"/>
  <c r="AB997" i="1"/>
  <c r="Y997" i="1"/>
  <c r="AE997" i="1"/>
  <c r="AC997" i="1"/>
  <c r="Z997" i="1"/>
  <c r="V997" i="1"/>
  <c r="AF998" i="1" s="1"/>
  <c r="W997" i="1"/>
  <c r="U997" i="1"/>
  <c r="AG997" i="1" l="1"/>
  <c r="AE998" i="1"/>
  <c r="AB998" i="1"/>
  <c r="Y998" i="1"/>
  <c r="AA997" i="1"/>
  <c r="Z998" i="1"/>
  <c r="AC998" i="1"/>
  <c r="AD997" i="1"/>
  <c r="AG998" i="1" l="1"/>
  <c r="AH997" i="1"/>
  <c r="AI997" i="1"/>
  <c r="X998" i="1" s="1"/>
  <c r="AA998" i="1"/>
  <c r="AD998" i="1"/>
  <c r="AH998" i="1" l="1"/>
  <c r="AI998" i="1"/>
  <c r="X999" i="1" s="1"/>
  <c r="V998" i="1"/>
  <c r="AF999" i="1" s="1"/>
  <c r="U998" i="1"/>
  <c r="W998" i="1"/>
  <c r="Z999" i="1" l="1"/>
  <c r="AC999" i="1"/>
  <c r="W999" i="1"/>
  <c r="V999" i="1"/>
  <c r="AF1000" i="1" s="1"/>
  <c r="U999" i="1"/>
  <c r="AE999" i="1"/>
  <c r="AG999" i="1" s="1"/>
  <c r="AB999" i="1"/>
  <c r="AD999" i="1" s="1"/>
  <c r="Y999" i="1"/>
  <c r="AA999" i="1" l="1"/>
  <c r="Z1000" i="1"/>
  <c r="AC1000" i="1"/>
  <c r="AE1000" i="1"/>
  <c r="AG1000" i="1" s="1"/>
  <c r="Y1000" i="1"/>
  <c r="AB1000" i="1"/>
  <c r="AH999" i="1" l="1"/>
  <c r="AI999" i="1"/>
  <c r="AD1000" i="1"/>
  <c r="AA1000" i="1"/>
  <c r="AH1000" i="1" s="1"/>
  <c r="AI1000" i="1" l="1"/>
  <c r="V1000" i="1"/>
  <c r="AF1001" i="1" s="1"/>
  <c r="X1000" i="1"/>
  <c r="W1000" i="1"/>
  <c r="U1000" i="1"/>
  <c r="Y1001" i="1" l="1"/>
  <c r="AE1001" i="1"/>
  <c r="AB1001" i="1"/>
  <c r="U1001" i="1"/>
  <c r="W1001" i="1"/>
  <c r="X1001" i="1"/>
  <c r="AC1001" i="1"/>
  <c r="AD1001" i="1" s="1"/>
  <c r="Z1001" i="1"/>
  <c r="V1001" i="1"/>
  <c r="AF1002" i="1" s="1"/>
  <c r="AG1001" i="1" l="1"/>
  <c r="AC1002" i="1"/>
  <c r="Z1002" i="1"/>
  <c r="AE1002" i="1"/>
  <c r="AG1002" i="1" s="1"/>
  <c r="AB1002" i="1"/>
  <c r="AD1002" i="1" s="1"/>
  <c r="Y1002" i="1"/>
  <c r="AA1001" i="1"/>
  <c r="AI1001" i="1" l="1"/>
  <c r="V1002" i="1" s="1"/>
  <c r="AF1003" i="1" s="1"/>
  <c r="AH1001" i="1"/>
  <c r="W1002" i="1" s="1"/>
  <c r="AA1002" i="1"/>
  <c r="AH1002" i="1" s="1"/>
  <c r="AC1003" i="1" l="1"/>
  <c r="Z1003" i="1"/>
  <c r="X1002" i="1"/>
  <c r="AI1002" i="1"/>
  <c r="X1003" i="1" s="1"/>
  <c r="U1002" i="1"/>
  <c r="AB1003" i="1" s="1"/>
  <c r="AD1003" i="1" s="1"/>
  <c r="W1003" i="1"/>
  <c r="Y1003" i="1" l="1"/>
  <c r="AE1003" i="1"/>
  <c r="AG1003" i="1" s="1"/>
  <c r="V1003" i="1"/>
  <c r="AF1004" i="1" s="1"/>
  <c r="AA1003" i="1"/>
  <c r="AI1003" i="1" s="1"/>
  <c r="U1003" i="1"/>
  <c r="AH1003" i="1" l="1"/>
  <c r="W1004" i="1" s="1"/>
  <c r="AE1004" i="1"/>
  <c r="AB1004" i="1"/>
  <c r="Y1004" i="1"/>
  <c r="AC1004" i="1"/>
  <c r="Z1004" i="1"/>
  <c r="X1004" i="1"/>
  <c r="AG1004" i="1" l="1"/>
  <c r="U1004" i="1"/>
  <c r="AE1005" i="1" s="1"/>
  <c r="V1004" i="1"/>
  <c r="AF1005" i="1" s="1"/>
  <c r="AA1004" i="1"/>
  <c r="AD1004" i="1"/>
  <c r="AH1004" i="1" l="1"/>
  <c r="AB1005" i="1"/>
  <c r="Y1005" i="1"/>
  <c r="AI1004" i="1"/>
  <c r="X1005" i="1" s="1"/>
  <c r="AG1005" i="1"/>
  <c r="AC1005" i="1"/>
  <c r="AD1005" i="1" s="1"/>
  <c r="Z1005" i="1"/>
  <c r="V1005" i="1" l="1"/>
  <c r="AF1006" i="1" s="1"/>
  <c r="AA1005" i="1"/>
  <c r="AH1005" i="1" s="1"/>
  <c r="W1005" i="1"/>
  <c r="U1005" i="1"/>
  <c r="AI1005" i="1" l="1"/>
  <c r="Y1006" i="1"/>
  <c r="AB1006" i="1"/>
  <c r="AE1006" i="1"/>
  <c r="AG1006" i="1" s="1"/>
  <c r="Z1006" i="1"/>
  <c r="AC1006" i="1"/>
  <c r="U1006" i="1"/>
  <c r="Y1007" i="1" l="1"/>
  <c r="AE1007" i="1"/>
  <c r="AB1007" i="1"/>
  <c r="V1006" i="1"/>
  <c r="AF1007" i="1" s="1"/>
  <c r="X1006" i="1"/>
  <c r="AD1006" i="1"/>
  <c r="W1006" i="1"/>
  <c r="AA1006" i="1"/>
  <c r="AH1006" i="1" s="1"/>
  <c r="AI1006" i="1" l="1"/>
  <c r="V1007" i="1" s="1"/>
  <c r="AF1008" i="1" s="1"/>
  <c r="W1007" i="1"/>
  <c r="AC1007" i="1"/>
  <c r="AD1007" i="1" s="1"/>
  <c r="AG1007" i="1"/>
  <c r="Z1007" i="1"/>
  <c r="AA1007" i="1" l="1"/>
  <c r="AH1007" i="1" s="1"/>
  <c r="W1008" i="1" s="1"/>
  <c r="X1007" i="1"/>
  <c r="U1007" i="1"/>
  <c r="Y1008" i="1" s="1"/>
  <c r="AC1008" i="1"/>
  <c r="Z1008" i="1"/>
  <c r="AB1008" i="1" l="1"/>
  <c r="AE1008" i="1"/>
  <c r="AG1008" i="1" s="1"/>
  <c r="AI1007" i="1"/>
  <c r="X1008" i="1" s="1"/>
  <c r="AD1008" i="1"/>
  <c r="U1008" i="1"/>
  <c r="AA1008" i="1"/>
  <c r="V1008" i="1" l="1"/>
  <c r="AF1009" i="1" s="1"/>
  <c r="AI1008" i="1"/>
  <c r="X1009" i="1" s="1"/>
  <c r="AH1008" i="1"/>
  <c r="W1009" i="1" s="1"/>
  <c r="AC1009" i="1"/>
  <c r="AB1009" i="1"/>
  <c r="AD1009" i="1" s="1"/>
  <c r="Y1009" i="1"/>
  <c r="AE1009" i="1"/>
  <c r="AG1009" i="1" s="1"/>
  <c r="Z1009" i="1" l="1"/>
  <c r="V1009" i="1"/>
  <c r="AF1010" i="1" s="1"/>
  <c r="U1009" i="1"/>
  <c r="AA1009" i="1"/>
  <c r="AH1009" i="1" s="1"/>
  <c r="AC1010" i="1" l="1"/>
  <c r="Z1010" i="1"/>
  <c r="AI1009" i="1"/>
  <c r="X1010" i="1" s="1"/>
  <c r="W1010" i="1"/>
  <c r="Y1010" i="1"/>
  <c r="AE1010" i="1"/>
  <c r="AG1010" i="1" s="1"/>
  <c r="AB1010" i="1"/>
  <c r="AD1010" i="1" s="1"/>
  <c r="V1010" i="1" l="1"/>
  <c r="AF1011" i="1" s="1"/>
  <c r="U1010" i="1"/>
  <c r="AA1010" i="1"/>
  <c r="AC1011" i="1" l="1"/>
  <c r="Z1011" i="1"/>
  <c r="AH1010" i="1"/>
  <c r="W1011" i="1" s="1"/>
  <c r="AI1010" i="1"/>
  <c r="AB1011" i="1"/>
  <c r="AD1011" i="1" s="1"/>
  <c r="Y1011" i="1"/>
  <c r="AE1011" i="1"/>
  <c r="AG1011" i="1" s="1"/>
  <c r="U1011" i="1" l="1"/>
  <c r="X1011" i="1"/>
  <c r="V1011" i="1"/>
  <c r="AF1012" i="1" s="1"/>
  <c r="AA1011" i="1"/>
  <c r="AI1011" i="1" s="1"/>
  <c r="AH1011" i="1" l="1"/>
  <c r="W1012" i="1" s="1"/>
  <c r="Z1012" i="1"/>
  <c r="AC1012" i="1"/>
  <c r="V1012" i="1"/>
  <c r="AF1013" i="1" s="1"/>
  <c r="AB1012" i="1"/>
  <c r="AD1012" i="1" s="1"/>
  <c r="AE1012" i="1"/>
  <c r="AG1012" i="1" s="1"/>
  <c r="Y1012" i="1"/>
  <c r="U1012" i="1" l="1"/>
  <c r="AB1013" i="1" s="1"/>
  <c r="AA1012" i="1"/>
  <c r="AH1012" i="1" s="1"/>
  <c r="X1012" i="1"/>
  <c r="Z1013" i="1"/>
  <c r="AC1013" i="1"/>
  <c r="Y1013" i="1" l="1"/>
  <c r="AE1013" i="1"/>
  <c r="AG1013" i="1" s="1"/>
  <c r="AI1012" i="1"/>
  <c r="V1013" i="1" s="1"/>
  <c r="AF1014" i="1" s="1"/>
  <c r="AA1013" i="1"/>
  <c r="AD1013" i="1"/>
  <c r="AH1013" i="1" l="1"/>
  <c r="AI1013" i="1"/>
  <c r="Z1014" i="1"/>
  <c r="AC1014" i="1"/>
  <c r="W1013" i="1"/>
  <c r="U1013" i="1"/>
  <c r="X1013" i="1"/>
  <c r="V1014" i="1" l="1"/>
  <c r="AF1015" i="1" s="1"/>
  <c r="X1014" i="1"/>
  <c r="W1014" i="1"/>
  <c r="AB1014" i="1"/>
  <c r="AD1014" i="1" s="1"/>
  <c r="Y1014" i="1"/>
  <c r="AE1014" i="1"/>
  <c r="AG1014" i="1" s="1"/>
  <c r="U1014" i="1"/>
  <c r="Z1015" i="1" l="1"/>
  <c r="AC1015" i="1"/>
  <c r="AE1015" i="1"/>
  <c r="AG1015" i="1" s="1"/>
  <c r="Y1015" i="1"/>
  <c r="AB1015" i="1"/>
  <c r="AD1015" i="1" s="1"/>
  <c r="AA1014" i="1"/>
  <c r="AH1014" i="1" l="1"/>
  <c r="AI1014" i="1"/>
  <c r="AA1015" i="1"/>
  <c r="AH1015" i="1" l="1"/>
  <c r="AI1015" i="1"/>
  <c r="W1015" i="1"/>
  <c r="U1015" i="1"/>
  <c r="X1015" i="1"/>
  <c r="V1015" i="1"/>
  <c r="AF1016" i="1" s="1"/>
  <c r="W1016" i="1" l="1"/>
  <c r="AC1016" i="1"/>
  <c r="Z1016" i="1"/>
  <c r="V1016" i="1"/>
  <c r="AF1017" i="1" s="1"/>
  <c r="X1016" i="1"/>
  <c r="AE1016" i="1"/>
  <c r="AG1016" i="1" s="1"/>
  <c r="Y1016" i="1"/>
  <c r="AB1016" i="1"/>
  <c r="AD1016" i="1" s="1"/>
  <c r="U1016" i="1"/>
  <c r="AB1017" i="1" l="1"/>
  <c r="Y1017" i="1"/>
  <c r="AE1017" i="1"/>
  <c r="AA1016" i="1"/>
  <c r="AH1016" i="1" s="1"/>
  <c r="Z1017" i="1"/>
  <c r="AC1017" i="1"/>
  <c r="AG1017" i="1" l="1"/>
  <c r="AI1016" i="1"/>
  <c r="AD1017" i="1"/>
  <c r="W1017" i="1"/>
  <c r="U1017" i="1"/>
  <c r="AA1017" i="1"/>
  <c r="AH1017" i="1" l="1"/>
  <c r="AI1017" i="1"/>
  <c r="X1017" i="1"/>
  <c r="V1017" i="1"/>
</calcChain>
</file>

<file path=xl/sharedStrings.xml><?xml version="1.0" encoding="utf-8"?>
<sst xmlns="http://schemas.openxmlformats.org/spreadsheetml/2006/main" count="94" uniqueCount="57">
  <si>
    <t>Base de temps</t>
  </si>
  <si>
    <t>Masse</t>
  </si>
  <si>
    <t>Planète 1</t>
  </si>
  <si>
    <t>Rayon</t>
  </si>
  <si>
    <t>Volume</t>
  </si>
  <si>
    <t>Masse totale</t>
  </si>
  <si>
    <t>Attraction / Répulsion</t>
  </si>
  <si>
    <t>Planète 2</t>
  </si>
  <si>
    <t>Planète 3</t>
  </si>
  <si>
    <t>Attraction</t>
  </si>
  <si>
    <t>Les Paramètres du corps en mouvement</t>
  </si>
  <si>
    <t>Position initiale x</t>
  </si>
  <si>
    <t>Position initiale y</t>
  </si>
  <si>
    <t>Accélération x</t>
  </si>
  <si>
    <t>Accélération y</t>
  </si>
  <si>
    <t>Les Paramètres pour chacun des trois corps</t>
  </si>
  <si>
    <t>Position x</t>
  </si>
  <si>
    <t>Position y</t>
  </si>
  <si>
    <t>Masse volumique</t>
  </si>
  <si>
    <t>Constante d'Aarseth</t>
  </si>
  <si>
    <t>Constante D'Aarseth</t>
  </si>
  <si>
    <t>Position courante x</t>
  </si>
  <si>
    <t>Position courante y</t>
  </si>
  <si>
    <t>temps sec</t>
  </si>
  <si>
    <t>intération</t>
  </si>
  <si>
    <t>Vitesse x</t>
  </si>
  <si>
    <t>Vitesse y</t>
  </si>
  <si>
    <t xml:space="preserve">Vitesse x </t>
  </si>
  <si>
    <t>Distance k1 et pji x</t>
  </si>
  <si>
    <t>Distance k1 et pji y</t>
  </si>
  <si>
    <t>Distance k2 et pji x</t>
  </si>
  <si>
    <t>Distance k2 et pji y</t>
  </si>
  <si>
    <t>Distance k3 et pji x</t>
  </si>
  <si>
    <t>Distance k3 et pji y</t>
  </si>
  <si>
    <t>accélération de planète 1, 2 ,3 en x</t>
  </si>
  <si>
    <t>accélération de planète 1,2,3 en y</t>
  </si>
  <si>
    <t>Partie 1</t>
  </si>
  <si>
    <t>x</t>
  </si>
  <si>
    <t>y</t>
  </si>
  <si>
    <t>Vaisseau</t>
  </si>
  <si>
    <t>i</t>
  </si>
  <si>
    <t>angle</t>
  </si>
  <si>
    <t>Entre :</t>
  </si>
  <si>
    <t>Distance x et y</t>
  </si>
  <si>
    <t>q1 - pi  x (1)</t>
  </si>
  <si>
    <t>q1 - pi y (1)</t>
  </si>
  <si>
    <t>|q1 - pi xy| (1)</t>
  </si>
  <si>
    <t>q1 - pi  x (2)</t>
  </si>
  <si>
    <t>q1 - pi  x (3)</t>
  </si>
  <si>
    <t>q1 - pi y (2)</t>
  </si>
  <si>
    <t>q1 - pi y (3)</t>
  </si>
  <si>
    <t>|q1 - pi xy| (2)</t>
  </si>
  <si>
    <t>|q1 - pi xy| (3)</t>
  </si>
  <si>
    <t>Valeurs</t>
  </si>
  <si>
    <t>Paramètre</t>
  </si>
  <si>
    <t>Paramètre généraux</t>
  </si>
  <si>
    <t>Ratio de la constance d'Aarseth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</si>
</sst>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)_ ;_ * \(#,##0.00\)_ ;_ * &quot;-&quot;??_)_ ;_ @_ "/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4" fillId="4" borderId="1" applyProtection="0">
      <alignment horizontal="center"/>
    </xf>
    <xf numFmtId="0" fontId="4" fillId="3" borderId="1" applyProtection="0">
      <alignment horizontal="center"/>
    </xf>
    <xf numFmtId="0" fontId="3" fillId="2" borderId="1" applyProtection="0">
      <alignment horizontal="center"/>
    </xf>
    <xf numFmtId="0" fontId="4" fillId="5" borderId="1" applyProtection="0">
      <alignment horizont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164" fontId="0" fillId="0" borderId="0" xfId="0" applyNumberFormat="1"/>
    <xf numFmtId="2" fontId="0" fillId="0" borderId="0" xfId="1" applyNumberFormat="1" applyFont="1"/>
    <xf numFmtId="1" fontId="0" fillId="0" borderId="0" xfId="0" applyNumberFormat="1"/>
    <xf numFmtId="0" fontId="4" fillId="3" borderId="5" xfId="3" applyBorder="1">
      <alignment horizontal="center"/>
    </xf>
    <xf numFmtId="0" fontId="4" fillId="4" borderId="5" xfId="2" applyBorder="1">
      <alignment horizontal="center"/>
    </xf>
    <xf numFmtId="0" fontId="4" fillId="5" borderId="5" xfId="5" applyBorder="1">
      <alignment horizontal="center"/>
    </xf>
    <xf numFmtId="0" fontId="3" fillId="2" borderId="6" xfId="4" applyBorder="1" applyAlignment="1">
      <alignment horizontal="center"/>
    </xf>
    <xf numFmtId="0" fontId="3" fillId="2" borderId="7" xfId="4" applyBorder="1" applyAlignment="1">
      <alignment horizontal="center"/>
    </xf>
    <xf numFmtId="0" fontId="0" fillId="0" borderId="0" xfId="0" applyAlignment="1">
      <alignment horizontal="center"/>
    </xf>
    <xf numFmtId="0" fontId="3" fillId="2" borderId="2" xfId="4" applyBorder="1">
      <alignment horizontal="center"/>
    </xf>
    <xf numFmtId="0" fontId="3" fillId="2" borderId="4" xfId="4" applyBorder="1">
      <alignment horizontal="center"/>
    </xf>
    <xf numFmtId="0" fontId="3" fillId="2" borderId="3" xfId="4" applyBorder="1">
      <alignment horizontal="center"/>
    </xf>
    <xf numFmtId="0" fontId="3" fillId="2" borderId="9" xfId="4" applyBorder="1">
      <alignment horizontal="center"/>
    </xf>
    <xf numFmtId="0" fontId="3" fillId="2" borderId="10" xfId="4" applyBorder="1" applyAlignment="1">
      <alignment horizontal="center"/>
    </xf>
    <xf numFmtId="0" fontId="3" fillId="2" borderId="8" xfId="4" applyBorder="1" applyAlignment="1">
      <alignment horizontal="center"/>
    </xf>
    <xf numFmtId="0" fontId="3" fillId="2" borderId="11" xfId="4" applyBorder="1" applyAlignment="1">
      <alignment horizontal="center"/>
    </xf>
    <xf numFmtId="0" fontId="4" fillId="3" borderId="10" xfId="3" applyBorder="1" applyAlignment="1">
      <alignment horizontal="center"/>
    </xf>
    <xf numFmtId="0" fontId="4" fillId="3" borderId="8" xfId="3" applyBorder="1" applyAlignment="1">
      <alignment horizontal="center"/>
    </xf>
    <xf numFmtId="0" fontId="4" fillId="3" borderId="11" xfId="3" applyBorder="1" applyAlignment="1">
      <alignment horizontal="center"/>
    </xf>
    <xf numFmtId="0" fontId="4" fillId="4" borderId="2" xfId="2" applyBorder="1" applyAlignment="1">
      <alignment horizontal="center"/>
    </xf>
    <xf numFmtId="0" fontId="4" fillId="4" borderId="4" xfId="2" applyBorder="1" applyAlignment="1">
      <alignment horizontal="center"/>
    </xf>
    <xf numFmtId="0" fontId="4" fillId="4" borderId="3" xfId="2" applyBorder="1" applyAlignment="1">
      <alignment horizontal="center"/>
    </xf>
    <xf numFmtId="0" fontId="4" fillId="5" borderId="9" xfId="5" applyBorder="1">
      <alignment horizontal="center"/>
    </xf>
  </cellXfs>
  <cellStyles count="6">
    <cellStyle name="Milliers" xfId="1" builtinId="3"/>
    <cellStyle name="Normal" xfId="0" builtinId="0"/>
    <cellStyle name="Planète 1" xfId="3" xr:uid="{00000000-0005-0000-0000-000002000000}"/>
    <cellStyle name="Planète 2" xfId="2" xr:uid="{00000000-0005-0000-0000-000003000000}"/>
    <cellStyle name="Planète 3" xfId="5" xr:uid="{00000000-0005-0000-0000-000004000000}"/>
    <cellStyle name="Titretitre" xfId="4" xr:uid="{00000000-0005-0000-0000-000005000000}"/>
  </cellStyles>
  <dxfs count="46">
    <dxf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  <border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  <border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3" tint="0.59996337778862885"/>
        </patternFill>
      </fill>
    </dxf>
    <dxf>
      <fill>
        <patternFill>
          <bgColor theme="3" tint="0.39994506668294322"/>
        </patternFill>
      </fill>
      <border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</dxfs>
  <tableStyles count="5" defaultTableStyle="TableStyleMedium2" defaultPivotStyle="PivotStyleLight16">
    <tableStyle name="Planète 3" pivot="0" count="3" xr9:uid="{00000000-0011-0000-FFFF-FFFF00000000}">
      <tableStyleElement type="wholeTable" dxfId="45"/>
      <tableStyleElement type="headerRow" dxfId="44"/>
      <tableStyleElement type="firstColumnStripe" dxfId="43"/>
    </tableStyle>
    <tableStyle name="Style de tableau 1" pivot="0" count="4" xr9:uid="{00000000-0011-0000-FFFF-FFFF01000000}">
      <tableStyleElement type="wholeTable" dxfId="42"/>
      <tableStyleElement type="headerRow" dxfId="41"/>
      <tableStyleElement type="firstRowStripe" dxfId="40"/>
      <tableStyleElement type="firstHeaderCell" dxfId="39"/>
    </tableStyle>
    <tableStyle name="Style de tableau 2" pivot="0" count="4" xr9:uid="{00000000-0011-0000-FFFF-FFFF02000000}">
      <tableStyleElement type="wholeTable" dxfId="38"/>
      <tableStyleElement type="headerRow" dxfId="37"/>
      <tableStyleElement type="firstRowStripe" dxfId="36"/>
      <tableStyleElement type="firstHeaderCell" dxfId="35"/>
    </tableStyle>
    <tableStyle name="Style de tableau 3" pivot="0" count="4" xr9:uid="{00000000-0011-0000-FFFF-FFFF03000000}">
      <tableStyleElement type="wholeTable" dxfId="34"/>
      <tableStyleElement type="headerRow" dxfId="33"/>
      <tableStyleElement type="firstRowStripe" dxfId="32"/>
      <tableStyleElement type="firstHeaderCell" dxfId="31"/>
    </tableStyle>
    <tableStyle name="Style de tableau 4" pivot="0" count="4" xr9:uid="{00000000-0011-0000-FFFF-FFFF04000000}">
      <tableStyleElement type="wholeTable" dxfId="30"/>
      <tableStyleElement type="headerRow" dxfId="29"/>
      <tableStyleElement type="firstRowStripe" dxfId="28"/>
      <tableStyleElement type="firstHeaderCell" dxfId="27"/>
    </tableStyle>
  </tableStyles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5-4368-AED8-1C23A34CC8BC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5-4368-AED8-1C23A34CC8BC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5-4368-AED8-1C23A34C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75-4368-AED8-1C23A34C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7-48EF-B6D3-E7466847FEA4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F7-48EF-B6D3-E7466847FEA4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1</xdr:row>
      <xdr:rowOff>0</xdr:rowOff>
    </xdr:from>
    <xdr:to>
      <xdr:col>36</xdr:col>
      <xdr:colOff>228600</xdr:colOff>
      <xdr:row>29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5</xdr:row>
          <xdr:rowOff>76200</xdr:rowOff>
        </xdr:from>
        <xdr:to>
          <xdr:col>10</xdr:col>
          <xdr:colOff>533400</xdr:colOff>
          <xdr:row>7</xdr:row>
          <xdr:rowOff>114300</xdr:rowOff>
        </xdr:to>
        <xdr:sp macro="" textlink="">
          <xdr:nvSpPr>
            <xdr:cNvPr id="2049" name="Button 1" descr="Commence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</xdr:colOff>
      <xdr:row>8</xdr:row>
      <xdr:rowOff>190499</xdr:rowOff>
    </xdr:from>
    <xdr:to>
      <xdr:col>13</xdr:col>
      <xdr:colOff>733424</xdr:colOff>
      <xdr:row>43</xdr:row>
      <xdr:rowOff>11429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B18:C26" totalsRowShown="0" headerRowDxfId="26" headerRowBorderDxfId="25" tableBorderDxfId="24" headerRowCellStyle="Planète 1">
  <autoFilter ref="B18:C26" xr:uid="{00000000-0009-0000-0100-000003000000}"/>
  <tableColumns count="2">
    <tableColumn id="1" xr3:uid="{00000000-0010-0000-0000-000001000000}" name="Planète 1"/>
    <tableColumn id="2" xr3:uid="{00000000-0010-0000-0000-000002000000}" name="Valeurs"/>
  </tableColumns>
  <tableStyleInfo name="Style de tableau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au4" displayName="Tableau4" ref="E18:F26" totalsRowShown="0" headerRowDxfId="23" headerRowBorderDxfId="22" tableBorderDxfId="21" headerRowCellStyle="Planète 2">
  <autoFilter ref="E18:F26" xr:uid="{00000000-0009-0000-0100-000004000000}"/>
  <tableColumns count="2">
    <tableColumn id="1" xr3:uid="{00000000-0010-0000-0100-000001000000}" name="Planète 2"/>
    <tableColumn id="2" xr3:uid="{00000000-0010-0000-0100-000002000000}" name="Valeurs"/>
  </tableColumns>
  <tableStyleInfo name="Style de tableau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au5" displayName="Tableau5" ref="H18:I26" totalsRowShown="0" headerRowDxfId="20" headerRowBorderDxfId="19" tableBorderDxfId="18" headerRowCellStyle="Planète 3">
  <autoFilter ref="H18:I26" xr:uid="{00000000-0009-0000-0100-000005000000}"/>
  <tableColumns count="2">
    <tableColumn id="1" xr3:uid="{00000000-0010-0000-0200-000001000000}" name="Planète 3"/>
    <tableColumn id="2" xr3:uid="{00000000-0010-0000-0200-000002000000}" name="Valeurs"/>
  </tableColumns>
  <tableStyleInfo name="Style de tableau 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au6" displayName="Tableau6" ref="B7:C14" totalsRowShown="0" headerRowDxfId="17" headerRowBorderDxfId="16" tableBorderDxfId="15" headerRowCellStyle="Titretitre">
  <autoFilter ref="B7:C14" xr:uid="{00000000-0009-0000-0100-000006000000}"/>
  <tableColumns count="2">
    <tableColumn id="1" xr3:uid="{00000000-0010-0000-0300-000001000000}" name="Les Paramètres du corps en mouvement"/>
    <tableColumn id="2" xr3:uid="{00000000-0010-0000-0300-000002000000}" name="Valeurs"/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3:C5" totalsRowShown="0" tableBorderDxfId="14">
  <autoFilter ref="B3:C5" xr:uid="{00000000-0009-0000-0100-000001000000}"/>
  <tableColumns count="2">
    <tableColumn id="1" xr3:uid="{00000000-0010-0000-0400-000001000000}" name="Paramètre généraux"/>
    <tableColumn id="2" xr3:uid="{00000000-0010-0000-0400-000002000000}" name="Valeurs"/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au2" displayName="Tableau2" ref="A2:C3" totalsRowShown="0" tableBorderDxfId="13">
  <autoFilter ref="A2:C3" xr:uid="{00000000-0009-0000-0100-000002000000}"/>
  <tableColumns count="3">
    <tableColumn id="1" xr3:uid="{00000000-0010-0000-0500-000001000000}" name="Partie 1"/>
    <tableColumn id="2" xr3:uid="{00000000-0010-0000-0500-000002000000}" name="x" dataDxfId="12">
      <calculatedColumnFormula>INDEX(Feuil1!U17:U1017,A3)</calculatedColumnFormula>
    </tableColumn>
    <tableColumn id="3" xr3:uid="{00000000-0010-0000-0500-000003000000}" name="y" dataDxfId="11">
      <calculatedColumnFormula>INDEX(Feuil1!V17:V1017,A3)</calculatedColumnFormula>
    </tableColumn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au7" displayName="Tableau7" ref="A4:A6" totalsRowShown="0">
  <autoFilter ref="A4:A6" xr:uid="{00000000-0009-0000-0100-000007000000}"/>
  <tableColumns count="1">
    <tableColumn id="1" xr3:uid="{00000000-0010-0000-0600-000001000000}" name="Entre :"/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8" displayName="Tableau8" ref="A10:D23" totalsRowShown="0" tableBorderDxfId="10">
  <autoFilter ref="A10:D23" xr:uid="{00000000-0009-0000-0100-000008000000}"/>
  <tableColumns count="4">
    <tableColumn id="1" xr3:uid="{00000000-0010-0000-0700-000001000000}" name="i"/>
    <tableColumn id="2" xr3:uid="{00000000-0010-0000-0700-000002000000}" name="x" dataDxfId="9">
      <calculatedColumnFormula>(COS(D11)*Feuil1!$C$21)+Feuil1!$C$19</calculatedColumnFormula>
    </tableColumn>
    <tableColumn id="3" xr3:uid="{00000000-0010-0000-0700-000003000000}" name="y" dataDxfId="8">
      <calculatedColumnFormula>(SIN(D11)*Feuil1!$C$21)+Feuil1!$C$20</calculatedColumnFormula>
    </tableColumn>
    <tableColumn id="4" xr3:uid="{00000000-0010-0000-0700-000004000000}" name="angle" dataDxfId="7" dataCellStyle="Milliers">
      <calculatedColumnFormula>((2*PI())/12)*A11</calculatedColumnFormula>
    </tableColumn>
  </tableColumns>
  <tableStyleInfo name="Style de tableau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9" displayName="Tableau9" ref="A26:D39" totalsRowShown="0">
  <autoFilter ref="A26:D39" xr:uid="{00000000-0009-0000-0100-000009000000}"/>
  <tableColumns count="4">
    <tableColumn id="1" xr3:uid="{00000000-0010-0000-0800-000001000000}" name="i"/>
    <tableColumn id="2" xr3:uid="{00000000-0010-0000-0800-000002000000}" name="x" dataDxfId="6">
      <calculatedColumnFormula>COS(D27)*Feuil1!$F$21+Feuil1!$F$19</calculatedColumnFormula>
    </tableColumn>
    <tableColumn id="3" xr3:uid="{00000000-0010-0000-0800-000003000000}" name="y" dataDxfId="5">
      <calculatedColumnFormula>SIN(D27)*Feuil1!$F$21+Feuil1!$F$20</calculatedColumnFormula>
    </tableColumn>
    <tableColumn id="4" xr3:uid="{00000000-0010-0000-0800-000004000000}" name="angle" dataDxfId="4">
      <calculatedColumnFormula>((2*PI())/12)*A27</calculatedColumnFormula>
    </tableColumn>
  </tableColumns>
  <tableStyleInfo name="Style de tableau 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10" displayName="Tableau10" ref="A42:D55" totalsRowShown="0" tableBorderDxfId="3">
  <autoFilter ref="A42:D55" xr:uid="{00000000-0009-0000-0100-00000A000000}"/>
  <tableColumns count="4">
    <tableColumn id="1" xr3:uid="{00000000-0010-0000-0900-000001000000}" name="i"/>
    <tableColumn id="2" xr3:uid="{00000000-0010-0000-0900-000002000000}" name="x" dataDxfId="2">
      <calculatedColumnFormula>COS(Feuil2!D43)*Feuil1!$I$21+Feuil1!$I$19</calculatedColumnFormula>
    </tableColumn>
    <tableColumn id="3" xr3:uid="{00000000-0010-0000-0900-000003000000}" name="y" dataDxfId="1">
      <calculatedColumnFormula>SIN(D43)*Feuil1!$I$21+Feuil1!$I$20</calculatedColumnFormula>
    </tableColumn>
    <tableColumn id="4" xr3:uid="{00000000-0010-0000-0900-000004000000}" name="angle" dataDxfId="0">
      <calculatedColumnFormula>((2*PI())/12)*A43</calculatedColumnFormula>
    </tableColumn>
  </tableColumns>
  <tableStyleInfo name="Style de tableau 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I1017"/>
  <sheetViews>
    <sheetView tabSelected="1" topLeftCell="C1" workbookViewId="0">
      <selection activeCell="AK12" sqref="AK12"/>
    </sheetView>
  </sheetViews>
  <sheetFormatPr baseColWidth="10" defaultColWidth="9.109375" defaultRowHeight="14.4" x14ac:dyDescent="0.3"/>
  <cols>
    <col min="1" max="1" width="1.6640625" customWidth="1"/>
    <col min="2" max="2" width="46.44140625" customWidth="1"/>
    <col min="3" max="3" width="13.6640625" customWidth="1"/>
    <col min="4" max="4" width="1.6640625" customWidth="1"/>
    <col min="5" max="5" width="22" customWidth="1"/>
    <col min="6" max="6" width="12.44140625" customWidth="1"/>
    <col min="7" max="7" width="1.6640625" customWidth="1"/>
    <col min="8" max="8" width="20.88671875" customWidth="1"/>
    <col min="9" max="9" width="12" customWidth="1"/>
    <col min="10" max="10" width="1.6640625" customWidth="1"/>
    <col min="18" max="18" width="9.109375" customWidth="1"/>
    <col min="19" max="19" width="12.33203125" hidden="1" customWidth="1"/>
    <col min="20" max="20" width="10" hidden="1" customWidth="1"/>
    <col min="21" max="21" width="18.88671875" hidden="1" customWidth="1"/>
    <col min="22" max="22" width="19.109375" hidden="1" customWidth="1"/>
    <col min="23" max="23" width="9.33203125" hidden="1" customWidth="1"/>
    <col min="24" max="24" width="10.33203125" hidden="1" customWidth="1"/>
    <col min="25" max="25" width="18.33203125" hidden="1" customWidth="1"/>
    <col min="26" max="27" width="17.88671875" hidden="1" customWidth="1"/>
    <col min="28" max="28" width="18.88671875" hidden="1" customWidth="1"/>
    <col min="29" max="30" width="18.6640625" hidden="1" customWidth="1"/>
    <col min="31" max="31" width="17.88671875" hidden="1" customWidth="1"/>
    <col min="32" max="33" width="17.6640625" hidden="1" customWidth="1"/>
    <col min="34" max="34" width="32.88671875" hidden="1" customWidth="1"/>
    <col min="35" max="35" width="5.44140625" hidden="1" customWidth="1"/>
    <col min="36" max="36" width="18.5546875" customWidth="1"/>
    <col min="37" max="37" width="17.88671875" customWidth="1"/>
  </cols>
  <sheetData>
    <row r="1" spans="2:35" ht="6" customHeight="1" x14ac:dyDescent="0.3"/>
    <row r="2" spans="2:35" ht="18" x14ac:dyDescent="0.35">
      <c r="B2" s="16" t="s">
        <v>54</v>
      </c>
      <c r="C2" s="16"/>
    </row>
    <row r="3" spans="2:35" x14ac:dyDescent="0.3">
      <c r="B3" t="s">
        <v>55</v>
      </c>
      <c r="C3" t="s">
        <v>53</v>
      </c>
    </row>
    <row r="4" spans="2:35" x14ac:dyDescent="0.3">
      <c r="B4" t="s">
        <v>0</v>
      </c>
      <c r="C4">
        <v>0.5</v>
      </c>
    </row>
    <row r="5" spans="2:35" x14ac:dyDescent="0.3">
      <c r="B5" t="s">
        <v>56</v>
      </c>
      <c r="C5">
        <v>1</v>
      </c>
    </row>
    <row r="7" spans="2:35" ht="18" x14ac:dyDescent="0.35">
      <c r="B7" s="10" t="s">
        <v>10</v>
      </c>
      <c r="C7" s="11" t="s">
        <v>53</v>
      </c>
    </row>
    <row r="8" spans="2:35" x14ac:dyDescent="0.3">
      <c r="B8" t="s">
        <v>1</v>
      </c>
      <c r="C8">
        <v>1</v>
      </c>
    </row>
    <row r="9" spans="2:35" x14ac:dyDescent="0.3">
      <c r="B9" t="s">
        <v>11</v>
      </c>
      <c r="C9">
        <v>0</v>
      </c>
      <c r="D9" s="1"/>
      <c r="E9" s="1"/>
    </row>
    <row r="10" spans="2:35" x14ac:dyDescent="0.3">
      <c r="B10" t="s">
        <v>12</v>
      </c>
      <c r="C10">
        <v>0</v>
      </c>
      <c r="D10" s="2"/>
      <c r="E10" s="2"/>
    </row>
    <row r="11" spans="2:35" ht="16.5" customHeight="1" x14ac:dyDescent="0.3">
      <c r="B11" t="s">
        <v>27</v>
      </c>
      <c r="C11">
        <v>0</v>
      </c>
      <c r="D11" s="2"/>
      <c r="E11" s="2"/>
    </row>
    <row r="12" spans="2:35" ht="16.5" customHeight="1" x14ac:dyDescent="0.3">
      <c r="B12" t="s">
        <v>26</v>
      </c>
      <c r="C12">
        <v>0</v>
      </c>
      <c r="D12" s="2"/>
      <c r="E12" s="2"/>
    </row>
    <row r="13" spans="2:35" ht="16.5" customHeight="1" x14ac:dyDescent="0.3">
      <c r="B13" t="s">
        <v>13</v>
      </c>
      <c r="C13">
        <v>0</v>
      </c>
      <c r="D13" s="1"/>
      <c r="E13" s="1"/>
    </row>
    <row r="14" spans="2:35" x14ac:dyDescent="0.3">
      <c r="B14" t="s">
        <v>14</v>
      </c>
      <c r="C14">
        <v>0</v>
      </c>
      <c r="D14" s="1"/>
      <c r="E14" s="1"/>
      <c r="U14" s="12"/>
      <c r="V14" s="12"/>
      <c r="W14" s="12"/>
      <c r="X14" s="12"/>
      <c r="Y14" s="12"/>
    </row>
    <row r="15" spans="2:35" x14ac:dyDescent="0.3">
      <c r="D15" s="1"/>
      <c r="E15" s="1"/>
      <c r="Y15" t="s">
        <v>44</v>
      </c>
      <c r="Z15" t="s">
        <v>45</v>
      </c>
      <c r="AA15" t="s">
        <v>46</v>
      </c>
      <c r="AB15" t="s">
        <v>47</v>
      </c>
      <c r="AC15" t="s">
        <v>49</v>
      </c>
      <c r="AD15" t="s">
        <v>51</v>
      </c>
      <c r="AE15" t="s">
        <v>48</v>
      </c>
      <c r="AF15" t="s">
        <v>50</v>
      </c>
      <c r="AG15" t="s">
        <v>52</v>
      </c>
    </row>
    <row r="16" spans="2:35" ht="21.6" customHeight="1" x14ac:dyDescent="0.35">
      <c r="B16" s="13" t="s">
        <v>15</v>
      </c>
      <c r="C16" s="14"/>
      <c r="D16" s="14"/>
      <c r="E16" s="14"/>
      <c r="F16" s="14"/>
      <c r="G16" s="14"/>
      <c r="H16" s="14"/>
      <c r="I16" s="15"/>
      <c r="S16" t="s">
        <v>24</v>
      </c>
      <c r="T16" t="s">
        <v>23</v>
      </c>
      <c r="U16" t="s">
        <v>21</v>
      </c>
      <c r="V16" t="s">
        <v>22</v>
      </c>
      <c r="W16" t="s">
        <v>25</v>
      </c>
      <c r="X16" t="s">
        <v>26</v>
      </c>
      <c r="Y16" t="s">
        <v>28</v>
      </c>
      <c r="Z16" t="s">
        <v>29</v>
      </c>
      <c r="AA16" t="s">
        <v>43</v>
      </c>
      <c r="AB16" t="s">
        <v>30</v>
      </c>
      <c r="AC16" t="s">
        <v>31</v>
      </c>
      <c r="AD16" t="s">
        <v>43</v>
      </c>
      <c r="AE16" t="s">
        <v>32</v>
      </c>
      <c r="AF16" t="s">
        <v>33</v>
      </c>
      <c r="AG16" t="s">
        <v>43</v>
      </c>
      <c r="AH16" t="s">
        <v>34</v>
      </c>
      <c r="AI16" t="s">
        <v>35</v>
      </c>
    </row>
    <row r="17" spans="2:35" ht="15" customHeight="1" x14ac:dyDescent="0.3">
      <c r="S17" s="6">
        <v>0</v>
      </c>
      <c r="T17" s="4">
        <v>0</v>
      </c>
      <c r="U17" s="3">
        <f>C9</f>
        <v>0</v>
      </c>
      <c r="V17" s="3">
        <f>C10</f>
        <v>0</v>
      </c>
      <c r="W17" s="3">
        <f>C11+(AH17*T17)</f>
        <v>0</v>
      </c>
      <c r="X17" s="3">
        <f>C12+(AI17*T17)</f>
        <v>0</v>
      </c>
      <c r="Y17" s="3">
        <f>C19-C9</f>
        <v>20000</v>
      </c>
      <c r="Z17" s="3">
        <f>C20-C10</f>
        <v>7500</v>
      </c>
      <c r="AA17" s="3">
        <f>SQRT(POWER(Y17,2)+POWER(Z17,2))</f>
        <v>21360.00936329383</v>
      </c>
      <c r="AB17" s="3">
        <f>F19-C9</f>
        <v>-20000</v>
      </c>
      <c r="AC17" s="3">
        <f>F20-C10</f>
        <v>10000</v>
      </c>
      <c r="AD17" s="3">
        <f>SQRT(POWER(AB17,2)+POWER(AC17,2))</f>
        <v>22360.679774997898</v>
      </c>
      <c r="AE17" s="3">
        <f>I19-C9</f>
        <v>-5000</v>
      </c>
      <c r="AF17" s="3">
        <f>I20-C10</f>
        <v>-15000</v>
      </c>
      <c r="AG17" s="3">
        <f>SQRT(POWER(AE17,2)+POWER(AF17,2))</f>
        <v>15811.388300841896</v>
      </c>
      <c r="AH17" s="3">
        <f>($C$24*(Y17/POWER(POWER(AA17,2)+POWER($C$25,2),3/2)))+($F$24*(AB17/POWER(POWER(AD17,2)+POWER($F$25,2),3/2)))+($I$24*(AE17/POWER(POWER(AG17,2)+POWER($I$25,2),3/2)))</f>
        <v>108.02117315932833</v>
      </c>
      <c r="AI17" s="3">
        <f>$C$24*(Z17/POWER(POWER(AA17,2)+POWER($C$25,2),3/2))+$F$24*(AC17/POWER(POWER(AD17,2)+POWER($F$25,2),3/2))+$I$24*(AF17/POWER(POWER(AG17,2)+POWER($I$25,2),3/2))</f>
        <v>-1195.3557675677646</v>
      </c>
    </row>
    <row r="18" spans="2:35" ht="15.6" x14ac:dyDescent="0.3">
      <c r="B18" s="7" t="s">
        <v>2</v>
      </c>
      <c r="C18" s="7" t="s">
        <v>53</v>
      </c>
      <c r="E18" s="8" t="s">
        <v>7</v>
      </c>
      <c r="F18" s="8" t="s">
        <v>53</v>
      </c>
      <c r="H18" s="9" t="s">
        <v>8</v>
      </c>
      <c r="I18" s="9" t="s">
        <v>53</v>
      </c>
      <c r="S18" s="6">
        <v>1</v>
      </c>
      <c r="T18" s="4">
        <f t="shared" ref="T18:T81" si="0">T17+$C$4</f>
        <v>0.5</v>
      </c>
      <c r="U18" s="3">
        <f>U17+(W17*$C$4)+(AH17*POWER($C$4,2))</f>
        <v>27.005293289832082</v>
      </c>
      <c r="V18" s="3">
        <f t="shared" ref="V18:V81" si="1">V17+(X17*$C$4)+(AI17*POWER($C$4,2))</f>
        <v>-298.83894189194115</v>
      </c>
      <c r="W18" s="3">
        <f t="shared" ref="W18:W81" si="2">W17+(AH17*T18)</f>
        <v>54.010586579664164</v>
      </c>
      <c r="X18" s="3">
        <f t="shared" ref="X18:X81" si="3">X17+(AI17*T18)</f>
        <v>-597.67788378388229</v>
      </c>
      <c r="Y18" s="3">
        <f t="shared" ref="Y18:Y81" si="4">$C$19-U17</f>
        <v>20000</v>
      </c>
      <c r="Z18" s="3">
        <f t="shared" ref="Z18:Z81" si="5">$C$20-V17</f>
        <v>7500</v>
      </c>
      <c r="AA18" s="3">
        <f>SQRT(POWER(Y18,2)+POWER(Z18,2))</f>
        <v>21360.00936329383</v>
      </c>
      <c r="AB18" s="3">
        <f t="shared" ref="AB18:AB81" si="6">$F$19-U17</f>
        <v>-20000</v>
      </c>
      <c r="AC18" s="3">
        <f t="shared" ref="AC18:AC81" si="7">$F$20-V17</f>
        <v>10000</v>
      </c>
      <c r="AD18" s="3">
        <f t="shared" ref="AD18:AD81" si="8">SQRT(POWER(AB18,2)+POWER(AC18,2))</f>
        <v>22360.679774997898</v>
      </c>
      <c r="AE18" s="3">
        <f t="shared" ref="AE18:AE81" si="9">$I$19-U17</f>
        <v>-5000</v>
      </c>
      <c r="AF18" s="3">
        <f>$I$20-V17</f>
        <v>-15000</v>
      </c>
      <c r="AG18" s="3">
        <f t="shared" ref="AG18:AG81" si="10">SQRT(POWER(AE18,2)+POWER(AF18,2))</f>
        <v>15811.388300841896</v>
      </c>
      <c r="AH18" s="3">
        <f t="shared" ref="AH18:AH81" si="11">($C$24*(Y18/POWER(POWER(AA18,2)+POWER($C$25,2),3/2)))+($F$24*(AB18/POWER(POWER(AD18,2)+POWER($F$25,2),3/2)))+($I$24*(AE18/POWER(POWER(AG18,2)+POWER($I$25,2),3/2)))</f>
        <v>108.02117315932833</v>
      </c>
      <c r="AI18" s="3">
        <f t="shared" ref="AI18:AI81" si="12">$C$24*(Z18/POWER(POWER(AA18,2)+POWER($C$25,2),3/2))+$F$24*(AC18/POWER(POWER(AD18,2)+POWER($F$25,2),3/2))+$I$24*(AF18/POWER(POWER(AG18,2)+POWER($I$25,2),3/2))</f>
        <v>-1195.3557675677646</v>
      </c>
    </row>
    <row r="19" spans="2:35" x14ac:dyDescent="0.3">
      <c r="B19" t="s">
        <v>16</v>
      </c>
      <c r="C19">
        <v>20000</v>
      </c>
      <c r="E19" t="s">
        <v>16</v>
      </c>
      <c r="F19">
        <v>-20000</v>
      </c>
      <c r="H19" t="s">
        <v>16</v>
      </c>
      <c r="I19">
        <v>-5000</v>
      </c>
      <c r="S19" s="6">
        <v>2</v>
      </c>
      <c r="T19" s="4">
        <f t="shared" si="0"/>
        <v>1</v>
      </c>
      <c r="U19" s="3">
        <f t="shared" ref="U19:U81" si="13">U18+(W18*$C$4)+(AH18*POWER($C$4,2))</f>
        <v>81.015879869496246</v>
      </c>
      <c r="V19" s="3">
        <f t="shared" si="1"/>
        <v>-896.51682567582338</v>
      </c>
      <c r="W19" s="3">
        <f t="shared" si="2"/>
        <v>162.03175973899249</v>
      </c>
      <c r="X19" s="3">
        <f t="shared" si="3"/>
        <v>-1793.0336513516468</v>
      </c>
      <c r="Y19" s="3">
        <f t="shared" si="4"/>
        <v>19972.994706710168</v>
      </c>
      <c r="Z19" s="3">
        <f t="shared" si="5"/>
        <v>7798.8389418919414</v>
      </c>
      <c r="AA19" s="3">
        <f t="shared" ref="AA19:AA81" si="14">SQRT(POWER(Y19,2)+POWER(Z19,2))</f>
        <v>21441.604566725939</v>
      </c>
      <c r="AB19" s="3">
        <f t="shared" si="6"/>
        <v>-20027.005293289832</v>
      </c>
      <c r="AC19" s="3">
        <f t="shared" si="7"/>
        <v>10298.838941891941</v>
      </c>
      <c r="AD19" s="3">
        <f t="shared" si="8"/>
        <v>22519.925056902142</v>
      </c>
      <c r="AE19" s="3">
        <f t="shared" si="9"/>
        <v>-5027.0052932898325</v>
      </c>
      <c r="AF19" s="3">
        <f t="shared" ref="AF19:AF82" si="15">$I$20-V18</f>
        <v>-14701.161058108059</v>
      </c>
      <c r="AG19" s="3">
        <f t="shared" si="10"/>
        <v>15536.888963856209</v>
      </c>
      <c r="AH19" s="3">
        <f t="shared" si="11"/>
        <v>70.667729966173738</v>
      </c>
      <c r="AI19" s="3">
        <f t="shared" si="12"/>
        <v>-1231.4897421929882</v>
      </c>
    </row>
    <row r="20" spans="2:35" x14ac:dyDescent="0.3">
      <c r="B20" t="s">
        <v>17</v>
      </c>
      <c r="C20">
        <v>7500</v>
      </c>
      <c r="D20" s="1"/>
      <c r="E20" t="s">
        <v>17</v>
      </c>
      <c r="F20">
        <v>10000</v>
      </c>
      <c r="H20" t="s">
        <v>17</v>
      </c>
      <c r="I20">
        <v>-15000</v>
      </c>
      <c r="S20" s="6">
        <v>3</v>
      </c>
      <c r="T20" s="4">
        <f t="shared" si="0"/>
        <v>1.5</v>
      </c>
      <c r="U20" s="3">
        <f t="shared" si="13"/>
        <v>179.69869223053593</v>
      </c>
      <c r="V20" s="3">
        <f t="shared" si="1"/>
        <v>-2100.906086899894</v>
      </c>
      <c r="W20" s="3">
        <f t="shared" si="2"/>
        <v>268.0333546882531</v>
      </c>
      <c r="X20" s="3">
        <f t="shared" si="3"/>
        <v>-3640.268264641129</v>
      </c>
      <c r="Y20" s="3">
        <f t="shared" si="4"/>
        <v>19918.984120130503</v>
      </c>
      <c r="Z20" s="3">
        <f t="shared" si="5"/>
        <v>8396.5168256758225</v>
      </c>
      <c r="AA20" s="3">
        <f t="shared" si="14"/>
        <v>21616.369333953109</v>
      </c>
      <c r="AB20" s="3">
        <f t="shared" si="6"/>
        <v>-20081.015879869497</v>
      </c>
      <c r="AC20" s="3">
        <f t="shared" si="7"/>
        <v>10896.516825675822</v>
      </c>
      <c r="AD20" s="3">
        <f t="shared" si="8"/>
        <v>22846.909587508926</v>
      </c>
      <c r="AE20" s="3">
        <f t="shared" si="9"/>
        <v>-5081.0158798694965</v>
      </c>
      <c r="AF20" s="3">
        <f t="shared" si="15"/>
        <v>-14103.483174324178</v>
      </c>
      <c r="AG20" s="3">
        <f t="shared" si="10"/>
        <v>14990.829197210247</v>
      </c>
      <c r="AH20" s="3">
        <f t="shared" si="11"/>
        <v>-11.304081722809656</v>
      </c>
      <c r="AI20" s="3">
        <f t="shared" si="12"/>
        <v>-1310.2387199581624</v>
      </c>
    </row>
    <row r="21" spans="2:35" x14ac:dyDescent="0.3">
      <c r="B21" t="s">
        <v>3</v>
      </c>
      <c r="C21">
        <v>5000</v>
      </c>
      <c r="E21" t="s">
        <v>3</v>
      </c>
      <c r="F21">
        <v>3500</v>
      </c>
      <c r="H21" t="s">
        <v>3</v>
      </c>
      <c r="I21">
        <v>5000</v>
      </c>
      <c r="S21" s="6">
        <v>4</v>
      </c>
      <c r="T21" s="4">
        <f t="shared" si="0"/>
        <v>2</v>
      </c>
      <c r="U21" s="3">
        <f t="shared" si="13"/>
        <v>310.88934914396009</v>
      </c>
      <c r="V21" s="3">
        <f t="shared" si="1"/>
        <v>-4248.5998992099985</v>
      </c>
      <c r="W21" s="3">
        <f t="shared" si="2"/>
        <v>245.42519124263379</v>
      </c>
      <c r="X21" s="3">
        <f t="shared" si="3"/>
        <v>-6260.7457045574538</v>
      </c>
      <c r="Y21" s="3">
        <f t="shared" si="4"/>
        <v>19820.301307769463</v>
      </c>
      <c r="Z21" s="3">
        <f t="shared" si="5"/>
        <v>9600.9060868998931</v>
      </c>
      <c r="AA21" s="3">
        <f t="shared" si="14"/>
        <v>22023.209158073201</v>
      </c>
      <c r="AB21" s="3">
        <f t="shared" si="6"/>
        <v>-20179.698692230537</v>
      </c>
      <c r="AC21" s="3">
        <f t="shared" si="7"/>
        <v>12100.906086899893</v>
      </c>
      <c r="AD21" s="3">
        <f t="shared" si="8"/>
        <v>23529.814436862474</v>
      </c>
      <c r="AE21" s="3">
        <f t="shared" si="9"/>
        <v>-5179.6986922305359</v>
      </c>
      <c r="AF21" s="3">
        <f t="shared" si="15"/>
        <v>-12899.093913100107</v>
      </c>
      <c r="AG21" s="3">
        <f t="shared" si="10"/>
        <v>13900.212312093328</v>
      </c>
      <c r="AH21" s="3">
        <f t="shared" si="11"/>
        <v>-209.55427618438682</v>
      </c>
      <c r="AI21" s="3">
        <f t="shared" si="12"/>
        <v>-1497.3346412055639</v>
      </c>
    </row>
    <row r="22" spans="2:35" x14ac:dyDescent="0.3">
      <c r="B22" t="s">
        <v>18</v>
      </c>
      <c r="C22">
        <v>1</v>
      </c>
      <c r="D22" s="1"/>
      <c r="E22" t="s">
        <v>18</v>
      </c>
      <c r="F22">
        <v>1</v>
      </c>
      <c r="H22" t="s">
        <v>18</v>
      </c>
      <c r="I22">
        <v>1</v>
      </c>
      <c r="S22" s="6">
        <v>5</v>
      </c>
      <c r="T22" s="4">
        <f t="shared" si="0"/>
        <v>2.5</v>
      </c>
      <c r="U22" s="3">
        <f t="shared" si="13"/>
        <v>381.21337571918025</v>
      </c>
      <c r="V22" s="3">
        <f t="shared" si="1"/>
        <v>-7753.3064117901167</v>
      </c>
      <c r="W22" s="3">
        <f t="shared" si="2"/>
        <v>-278.46049921833321</v>
      </c>
      <c r="X22" s="3">
        <f t="shared" si="3"/>
        <v>-10004.082307571363</v>
      </c>
      <c r="Y22" s="3">
        <f t="shared" si="4"/>
        <v>19689.110650856041</v>
      </c>
      <c r="Z22" s="3">
        <f t="shared" si="5"/>
        <v>11748.599899209999</v>
      </c>
      <c r="AA22" s="3">
        <f t="shared" si="14"/>
        <v>22927.945346527893</v>
      </c>
      <c r="AB22" s="3">
        <f t="shared" si="6"/>
        <v>-20310.889349143959</v>
      </c>
      <c r="AC22" s="3">
        <f t="shared" si="7"/>
        <v>14248.599899209999</v>
      </c>
      <c r="AD22" s="3">
        <f t="shared" si="8"/>
        <v>24810.377369982438</v>
      </c>
      <c r="AE22" s="3">
        <f t="shared" si="9"/>
        <v>-5310.8893491439603</v>
      </c>
      <c r="AF22" s="3">
        <f t="shared" si="15"/>
        <v>-10751.400100790001</v>
      </c>
      <c r="AG22" s="3">
        <f t="shared" si="10"/>
        <v>11991.586625885584</v>
      </c>
      <c r="AH22" s="3">
        <f t="shared" si="11"/>
        <v>-702.13388154206496</v>
      </c>
      <c r="AI22" s="3">
        <f t="shared" si="12"/>
        <v>-1928.2233269757023</v>
      </c>
    </row>
    <row r="23" spans="2:35" x14ac:dyDescent="0.3">
      <c r="B23" t="s">
        <v>4</v>
      </c>
      <c r="C23">
        <f>(4/3)*PI()*C21^3</f>
        <v>523598775598.29883</v>
      </c>
      <c r="D23" s="1"/>
      <c r="E23" t="s">
        <v>4</v>
      </c>
      <c r="F23">
        <f>(4/3)*PI()*F21^3</f>
        <v>179594380030.21649</v>
      </c>
      <c r="H23" t="s">
        <v>4</v>
      </c>
      <c r="I23">
        <f>(4/3)*PI()*I21^3</f>
        <v>523598775598.29883</v>
      </c>
      <c r="S23" s="6">
        <v>6</v>
      </c>
      <c r="T23" s="4">
        <f t="shared" si="0"/>
        <v>3</v>
      </c>
      <c r="U23" s="3">
        <f t="shared" si="13"/>
        <v>66.449655724497404</v>
      </c>
      <c r="V23" s="3">
        <f t="shared" si="1"/>
        <v>-13237.403397319724</v>
      </c>
      <c r="W23" s="3">
        <f t="shared" si="2"/>
        <v>-2384.862143844528</v>
      </c>
      <c r="X23" s="3">
        <f t="shared" si="3"/>
        <v>-15788.75228849847</v>
      </c>
      <c r="Y23" s="3">
        <f t="shared" si="4"/>
        <v>19618.78662428082</v>
      </c>
      <c r="Z23" s="3">
        <f t="shared" si="5"/>
        <v>15253.306411790116</v>
      </c>
      <c r="AA23" s="3">
        <f t="shared" si="14"/>
        <v>24850.757435157131</v>
      </c>
      <c r="AB23" s="3">
        <f t="shared" si="6"/>
        <v>-20381.21337571918</v>
      </c>
      <c r="AC23" s="3">
        <f t="shared" si="7"/>
        <v>17753.306411790116</v>
      </c>
      <c r="AD23" s="3">
        <f t="shared" si="8"/>
        <v>27029.127755395704</v>
      </c>
      <c r="AE23" s="3">
        <f t="shared" si="9"/>
        <v>-5381.2133757191805</v>
      </c>
      <c r="AF23" s="3">
        <f t="shared" si="15"/>
        <v>-7246.6935882098833</v>
      </c>
      <c r="AG23" s="3">
        <f t="shared" si="10"/>
        <v>9026.1855374472143</v>
      </c>
      <c r="AH23" s="3">
        <f t="shared" si="11"/>
        <v>-2114.766212902623</v>
      </c>
      <c r="AI23" s="3">
        <f t="shared" si="12"/>
        <v>-2805.8846462713709</v>
      </c>
    </row>
    <row r="24" spans="2:35" x14ac:dyDescent="0.3">
      <c r="B24" t="s">
        <v>5</v>
      </c>
      <c r="C24">
        <f>C22*C23</f>
        <v>523598775598.29883</v>
      </c>
      <c r="D24" s="1"/>
      <c r="E24" t="s">
        <v>5</v>
      </c>
      <c r="F24">
        <f>F22*F23</f>
        <v>179594380030.21649</v>
      </c>
      <c r="H24" t="s">
        <v>5</v>
      </c>
      <c r="I24">
        <f>I22*I23</f>
        <v>523598775598.29883</v>
      </c>
      <c r="S24" s="6">
        <v>7</v>
      </c>
      <c r="T24" s="4">
        <f t="shared" si="0"/>
        <v>3.5</v>
      </c>
      <c r="U24" s="3">
        <f t="shared" si="13"/>
        <v>-1654.6729694234223</v>
      </c>
      <c r="V24" s="3">
        <f t="shared" si="1"/>
        <v>-21833.2507031368</v>
      </c>
      <c r="W24" s="3">
        <f t="shared" si="2"/>
        <v>-9786.5438890037076</v>
      </c>
      <c r="X24" s="3">
        <f t="shared" si="3"/>
        <v>-25609.348550448267</v>
      </c>
      <c r="Y24" s="3">
        <f t="shared" si="4"/>
        <v>19933.550344275503</v>
      </c>
      <c r="Z24" s="3">
        <f t="shared" si="5"/>
        <v>20737.403397319722</v>
      </c>
      <c r="AA24" s="3">
        <f t="shared" si="14"/>
        <v>28764.323892470227</v>
      </c>
      <c r="AB24" s="3">
        <f t="shared" si="6"/>
        <v>-20066.449655724497</v>
      </c>
      <c r="AC24" s="3">
        <f t="shared" si="7"/>
        <v>23237.403397319722</v>
      </c>
      <c r="AD24" s="3">
        <f t="shared" si="8"/>
        <v>30702.431800029979</v>
      </c>
      <c r="AE24" s="3">
        <f t="shared" si="9"/>
        <v>-5066.4496557244975</v>
      </c>
      <c r="AF24" s="3">
        <f t="shared" si="15"/>
        <v>-1762.5966026802762</v>
      </c>
      <c r="AG24" s="3">
        <f t="shared" si="10"/>
        <v>5364.2948183121825</v>
      </c>
      <c r="AH24" s="3">
        <f t="shared" si="11"/>
        <v>-6429.7689299939775</v>
      </c>
      <c r="AI24" s="3">
        <f t="shared" si="12"/>
        <v>-1762.5614432643551</v>
      </c>
    </row>
    <row r="25" spans="2:35" x14ac:dyDescent="0.3">
      <c r="B25" t="s">
        <v>19</v>
      </c>
      <c r="C25">
        <f>C21*C5</f>
        <v>5000</v>
      </c>
      <c r="D25" s="1"/>
      <c r="E25" t="s">
        <v>19</v>
      </c>
      <c r="F25">
        <f>F21*C5</f>
        <v>3500</v>
      </c>
      <c r="H25" t="s">
        <v>20</v>
      </c>
      <c r="I25">
        <f>I21*C5</f>
        <v>5000</v>
      </c>
      <c r="S25" s="6">
        <v>8</v>
      </c>
      <c r="T25" s="4">
        <f t="shared" si="0"/>
        <v>4</v>
      </c>
      <c r="U25" s="3">
        <f t="shared" si="13"/>
        <v>-8155.38714642377</v>
      </c>
      <c r="V25" s="3">
        <f t="shared" si="1"/>
        <v>-35078.565339177025</v>
      </c>
      <c r="W25" s="3">
        <f t="shared" si="2"/>
        <v>-35505.619608979614</v>
      </c>
      <c r="X25" s="3">
        <f t="shared" si="3"/>
        <v>-32659.594323505687</v>
      </c>
      <c r="Y25" s="3">
        <f t="shared" si="4"/>
        <v>21654.672969423424</v>
      </c>
      <c r="Z25" s="3">
        <f t="shared" si="5"/>
        <v>29333.2507031368</v>
      </c>
      <c r="AA25" s="3">
        <f t="shared" si="14"/>
        <v>36460.450603712416</v>
      </c>
      <c r="AB25" s="3">
        <f t="shared" si="6"/>
        <v>-18345.327030576576</v>
      </c>
      <c r="AC25" s="3">
        <f t="shared" si="7"/>
        <v>31833.2507031368</v>
      </c>
      <c r="AD25" s="3">
        <f t="shared" si="8"/>
        <v>36741.078838101137</v>
      </c>
      <c r="AE25" s="3">
        <f t="shared" si="9"/>
        <v>-3345.3270305765777</v>
      </c>
      <c r="AF25" s="3">
        <f t="shared" si="15"/>
        <v>6833.2507031368004</v>
      </c>
      <c r="AG25" s="3">
        <f t="shared" si="10"/>
        <v>7608.1882280491645</v>
      </c>
      <c r="AH25" s="3">
        <f t="shared" si="11"/>
        <v>-2159.3308512927802</v>
      </c>
      <c r="AI25" s="3">
        <f t="shared" si="12"/>
        <v>5163.3644636633999</v>
      </c>
    </row>
    <row r="26" spans="2:35" x14ac:dyDescent="0.3">
      <c r="B26" t="s">
        <v>6</v>
      </c>
      <c r="C26" t="s">
        <v>9</v>
      </c>
      <c r="D26" s="1"/>
      <c r="E26" t="s">
        <v>6</v>
      </c>
      <c r="F26" t="s">
        <v>9</v>
      </c>
      <c r="H26" t="s">
        <v>6</v>
      </c>
      <c r="I26" t="s">
        <v>9</v>
      </c>
      <c r="S26" s="6">
        <v>9</v>
      </c>
      <c r="T26" s="4">
        <f t="shared" si="0"/>
        <v>4.5</v>
      </c>
      <c r="U26" s="3">
        <f t="shared" si="13"/>
        <v>-26448.029663736772</v>
      </c>
      <c r="V26" s="3">
        <f t="shared" si="1"/>
        <v>-50117.521385014021</v>
      </c>
      <c r="W26" s="3">
        <f t="shared" si="2"/>
        <v>-45222.608439797128</v>
      </c>
      <c r="X26" s="3">
        <f t="shared" si="3"/>
        <v>-9424.454237020389</v>
      </c>
      <c r="Y26" s="3">
        <f t="shared" si="4"/>
        <v>28155.387146423771</v>
      </c>
      <c r="Z26" s="3">
        <f t="shared" si="5"/>
        <v>42578.565339177025</v>
      </c>
      <c r="AA26" s="3">
        <f t="shared" si="14"/>
        <v>51045.666336208917</v>
      </c>
      <c r="AB26" s="3">
        <f t="shared" si="6"/>
        <v>-11844.612853576229</v>
      </c>
      <c r="AC26" s="3">
        <f t="shared" si="7"/>
        <v>45078.565339177025</v>
      </c>
      <c r="AD26" s="3">
        <f t="shared" si="8"/>
        <v>46608.710631056456</v>
      </c>
      <c r="AE26" s="3">
        <f t="shared" si="9"/>
        <v>3155.38714642377</v>
      </c>
      <c r="AF26" s="3">
        <f t="shared" si="15"/>
        <v>20078.565339177025</v>
      </c>
      <c r="AG26" s="3">
        <f t="shared" si="10"/>
        <v>20324.990876342781</v>
      </c>
      <c r="AH26" s="3">
        <f t="shared" si="11"/>
        <v>268.5980454226127</v>
      </c>
      <c r="AI26" s="3">
        <f t="shared" si="12"/>
        <v>1390.99014454349</v>
      </c>
    </row>
    <row r="27" spans="2:35" x14ac:dyDescent="0.3">
      <c r="D27" s="1"/>
      <c r="E27" s="1"/>
      <c r="S27" s="6">
        <v>10</v>
      </c>
      <c r="T27" s="4">
        <f t="shared" si="0"/>
        <v>5</v>
      </c>
      <c r="U27" s="3">
        <f t="shared" si="13"/>
        <v>-48992.184372279684</v>
      </c>
      <c r="V27" s="3">
        <f t="shared" si="1"/>
        <v>-54482.00096738834</v>
      </c>
      <c r="W27" s="3">
        <f t="shared" si="2"/>
        <v>-43879.618212684065</v>
      </c>
      <c r="X27" s="3">
        <f t="shared" si="3"/>
        <v>-2469.503514302939</v>
      </c>
      <c r="Y27" s="3">
        <f t="shared" si="4"/>
        <v>46448.029663736772</v>
      </c>
      <c r="Z27" s="3">
        <f t="shared" si="5"/>
        <v>57617.521385014021</v>
      </c>
      <c r="AA27" s="3">
        <f t="shared" si="14"/>
        <v>74008.09570713139</v>
      </c>
      <c r="AB27" s="3">
        <f t="shared" si="6"/>
        <v>6448.0296637367719</v>
      </c>
      <c r="AC27" s="3">
        <f t="shared" si="7"/>
        <v>60117.521385014021</v>
      </c>
      <c r="AD27" s="3">
        <f t="shared" si="8"/>
        <v>60462.330950948686</v>
      </c>
      <c r="AE27" s="3">
        <f t="shared" si="9"/>
        <v>21448.029663736772</v>
      </c>
      <c r="AF27" s="3">
        <f t="shared" si="15"/>
        <v>35117.521385014021</v>
      </c>
      <c r="AG27" s="3">
        <f t="shared" si="10"/>
        <v>41149.219733592152</v>
      </c>
      <c r="AH27" s="3">
        <f t="shared" si="11"/>
        <v>222.47291199383568</v>
      </c>
      <c r="AI27" s="3">
        <f t="shared" si="12"/>
        <v>380.6809165734652</v>
      </c>
    </row>
    <row r="28" spans="2:35" x14ac:dyDescent="0.3">
      <c r="S28" s="6">
        <v>11</v>
      </c>
      <c r="T28" s="4">
        <f t="shared" si="0"/>
        <v>5.5</v>
      </c>
      <c r="U28" s="3">
        <f t="shared" si="13"/>
        <v>-70876.375250623256</v>
      </c>
      <c r="V28" s="3">
        <f t="shared" si="1"/>
        <v>-55621.58249539644</v>
      </c>
      <c r="W28" s="3">
        <f t="shared" si="2"/>
        <v>-42656.01719671797</v>
      </c>
      <c r="X28" s="3">
        <f t="shared" si="3"/>
        <v>-375.75847314888051</v>
      </c>
      <c r="Y28" s="3">
        <f t="shared" si="4"/>
        <v>68992.184372279677</v>
      </c>
      <c r="Z28" s="3">
        <f t="shared" si="5"/>
        <v>61982.00096738834</v>
      </c>
      <c r="AA28" s="3">
        <f t="shared" si="14"/>
        <v>92745.296098400388</v>
      </c>
      <c r="AB28" s="3">
        <f t="shared" si="6"/>
        <v>28992.184372279684</v>
      </c>
      <c r="AC28" s="3">
        <f t="shared" si="7"/>
        <v>64482.00096738834</v>
      </c>
      <c r="AD28" s="3">
        <f t="shared" si="8"/>
        <v>70699.895356602399</v>
      </c>
      <c r="AE28" s="3">
        <f t="shared" si="9"/>
        <v>43992.184372279684</v>
      </c>
      <c r="AF28" s="3">
        <f t="shared" si="15"/>
        <v>39482.00096738834</v>
      </c>
      <c r="AG28" s="3">
        <f t="shared" si="10"/>
        <v>59111.256848704397</v>
      </c>
      <c r="AH28" s="3">
        <f t="shared" si="11"/>
        <v>170.10140704918715</v>
      </c>
      <c r="AI28" s="3">
        <f t="shared" si="12"/>
        <v>172.17832973058484</v>
      </c>
    </row>
    <row r="29" spans="2:35" x14ac:dyDescent="0.3">
      <c r="S29" s="6">
        <v>12</v>
      </c>
      <c r="T29" s="4">
        <f t="shared" si="0"/>
        <v>6</v>
      </c>
      <c r="U29" s="3">
        <f t="shared" si="13"/>
        <v>-92161.858497219946</v>
      </c>
      <c r="V29" s="3">
        <f t="shared" si="1"/>
        <v>-55766.417149538232</v>
      </c>
      <c r="W29" s="3">
        <f t="shared" si="2"/>
        <v>-41635.408754422846</v>
      </c>
      <c r="X29" s="3">
        <f t="shared" si="3"/>
        <v>657.31150523462838</v>
      </c>
      <c r="Y29" s="3">
        <f t="shared" si="4"/>
        <v>90876.375250623256</v>
      </c>
      <c r="Z29" s="3">
        <f t="shared" si="5"/>
        <v>63121.58249539644</v>
      </c>
      <c r="AA29" s="3">
        <f t="shared" si="14"/>
        <v>110647.41187852173</v>
      </c>
      <c r="AB29" s="3">
        <f t="shared" si="6"/>
        <v>50876.375250623256</v>
      </c>
      <c r="AC29" s="3">
        <f t="shared" si="7"/>
        <v>65621.582495396433</v>
      </c>
      <c r="AD29" s="3">
        <f t="shared" si="8"/>
        <v>83033.713922974377</v>
      </c>
      <c r="AE29" s="3">
        <f t="shared" si="9"/>
        <v>65876.375250623256</v>
      </c>
      <c r="AF29" s="3">
        <f t="shared" si="15"/>
        <v>40621.58249539644</v>
      </c>
      <c r="AG29" s="3">
        <f t="shared" si="10"/>
        <v>77393.861388298916</v>
      </c>
      <c r="AH29" s="3">
        <f t="shared" si="11"/>
        <v>124.87920207793121</v>
      </c>
      <c r="AI29" s="3">
        <f t="shared" si="12"/>
        <v>90.450391190037891</v>
      </c>
    </row>
    <row r="30" spans="2:35" x14ac:dyDescent="0.3">
      <c r="D30" s="1"/>
      <c r="E30" s="1"/>
      <c r="S30" s="6">
        <v>13</v>
      </c>
      <c r="T30" s="4">
        <f t="shared" si="0"/>
        <v>6.5</v>
      </c>
      <c r="U30" s="3">
        <f t="shared" si="13"/>
        <v>-112948.34307391189</v>
      </c>
      <c r="V30" s="3">
        <f t="shared" si="1"/>
        <v>-55415.14879912341</v>
      </c>
      <c r="W30" s="3">
        <f t="shared" si="2"/>
        <v>-40823.693940916295</v>
      </c>
      <c r="X30" s="3">
        <f t="shared" si="3"/>
        <v>1245.2390479698747</v>
      </c>
      <c r="Y30" s="3">
        <f t="shared" si="4"/>
        <v>112161.85849721995</v>
      </c>
      <c r="Z30" s="3">
        <f t="shared" si="5"/>
        <v>63266.417149538232</v>
      </c>
      <c r="AA30" s="3">
        <f t="shared" si="14"/>
        <v>128774.69487632178</v>
      </c>
      <c r="AB30" s="3">
        <f t="shared" si="6"/>
        <v>72161.858497219946</v>
      </c>
      <c r="AC30" s="3">
        <f t="shared" si="7"/>
        <v>65766.417149538232</v>
      </c>
      <c r="AD30" s="3">
        <f t="shared" si="8"/>
        <v>97634.806531584167</v>
      </c>
      <c r="AE30" s="3">
        <f t="shared" si="9"/>
        <v>87161.858497219946</v>
      </c>
      <c r="AF30" s="3">
        <f t="shared" si="15"/>
        <v>40766.417149538232</v>
      </c>
      <c r="AG30" s="3">
        <f t="shared" si="10"/>
        <v>96224.167150979061</v>
      </c>
      <c r="AH30" s="3">
        <f t="shared" si="11"/>
        <v>92.354219746641888</v>
      </c>
      <c r="AI30" s="3">
        <f t="shared" si="12"/>
        <v>52.004823033305485</v>
      </c>
    </row>
    <row r="31" spans="2:35" x14ac:dyDescent="0.3">
      <c r="S31" s="6">
        <v>14</v>
      </c>
      <c r="T31" s="4">
        <f t="shared" si="0"/>
        <v>7</v>
      </c>
      <c r="U31" s="3">
        <f t="shared" si="13"/>
        <v>-133337.10148943338</v>
      </c>
      <c r="V31" s="3">
        <f t="shared" si="1"/>
        <v>-54779.52806938014</v>
      </c>
      <c r="W31" s="3">
        <f t="shared" si="2"/>
        <v>-40177.214402689802</v>
      </c>
      <c r="X31" s="3">
        <f t="shared" si="3"/>
        <v>1609.2728092030131</v>
      </c>
      <c r="Y31" s="3">
        <f t="shared" si="4"/>
        <v>132948.34307391191</v>
      </c>
      <c r="Z31" s="3">
        <f t="shared" si="5"/>
        <v>62915.14879912341</v>
      </c>
      <c r="AA31" s="3">
        <f t="shared" si="14"/>
        <v>147083.57445518661</v>
      </c>
      <c r="AB31" s="3">
        <f t="shared" si="6"/>
        <v>92948.343073911892</v>
      </c>
      <c r="AC31" s="3">
        <f t="shared" si="7"/>
        <v>65415.14879912341</v>
      </c>
      <c r="AD31" s="3">
        <f t="shared" si="8"/>
        <v>113659.73857350316</v>
      </c>
      <c r="AE31" s="3">
        <f t="shared" si="9"/>
        <v>107948.34307391189</v>
      </c>
      <c r="AF31" s="3">
        <f t="shared" si="15"/>
        <v>40415.14879912341</v>
      </c>
      <c r="AG31" s="3">
        <f t="shared" si="10"/>
        <v>115265.905734776</v>
      </c>
      <c r="AH31" s="3">
        <f t="shared" si="11"/>
        <v>69.995190966456619</v>
      </c>
      <c r="AI31" s="3">
        <f t="shared" si="12"/>
        <v>32.103654911173265</v>
      </c>
    </row>
    <row r="32" spans="2:35" x14ac:dyDescent="0.3">
      <c r="D32" s="2"/>
      <c r="E32" s="2"/>
      <c r="S32" s="6">
        <v>15</v>
      </c>
      <c r="T32" s="4">
        <f t="shared" si="0"/>
        <v>7.5</v>
      </c>
      <c r="U32" s="3">
        <f t="shared" si="13"/>
        <v>-153408.20989303669</v>
      </c>
      <c r="V32" s="3">
        <f t="shared" si="1"/>
        <v>-53966.865751050842</v>
      </c>
      <c r="W32" s="3">
        <f t="shared" si="2"/>
        <v>-39652.25047044138</v>
      </c>
      <c r="X32" s="3">
        <f t="shared" si="3"/>
        <v>1850.0502210368127</v>
      </c>
      <c r="Y32" s="3">
        <f t="shared" si="4"/>
        <v>153337.10148943338</v>
      </c>
      <c r="Z32" s="3">
        <f t="shared" si="5"/>
        <v>62279.52806938014</v>
      </c>
      <c r="AA32" s="3">
        <f t="shared" si="14"/>
        <v>165502.28490786918</v>
      </c>
      <c r="AB32" s="3">
        <f t="shared" si="6"/>
        <v>113337.10148943338</v>
      </c>
      <c r="AC32" s="3">
        <f t="shared" si="7"/>
        <v>64779.52806938014</v>
      </c>
      <c r="AD32" s="3">
        <f t="shared" si="8"/>
        <v>130543.80809106854</v>
      </c>
      <c r="AE32" s="3">
        <f t="shared" si="9"/>
        <v>128337.10148943338</v>
      </c>
      <c r="AF32" s="3">
        <f t="shared" si="15"/>
        <v>39779.52806938014</v>
      </c>
      <c r="AG32" s="3">
        <f t="shared" si="10"/>
        <v>134360.7921684437</v>
      </c>
      <c r="AH32" s="3">
        <f t="shared" si="11"/>
        <v>54.471980745198209</v>
      </c>
      <c r="AI32" s="3">
        <f t="shared" si="12"/>
        <v>20.976586605777193</v>
      </c>
    </row>
    <row r="33" spans="4:35" x14ac:dyDescent="0.3">
      <c r="D33" s="2"/>
      <c r="E33" s="2"/>
      <c r="S33" s="6">
        <v>16</v>
      </c>
      <c r="T33" s="4">
        <f t="shared" si="0"/>
        <v>8</v>
      </c>
      <c r="U33" s="3">
        <f t="shared" si="13"/>
        <v>-173220.71713307107</v>
      </c>
      <c r="V33" s="3">
        <f t="shared" si="1"/>
        <v>-53036.596493880992</v>
      </c>
      <c r="W33" s="3">
        <f t="shared" si="2"/>
        <v>-39216.474624479793</v>
      </c>
      <c r="X33" s="3">
        <f t="shared" si="3"/>
        <v>2017.8629138830302</v>
      </c>
      <c r="Y33" s="3">
        <f t="shared" si="4"/>
        <v>173408.20989303669</v>
      </c>
      <c r="Z33" s="3">
        <f t="shared" si="5"/>
        <v>61466.865751050842</v>
      </c>
      <c r="AA33" s="3">
        <f t="shared" si="14"/>
        <v>183979.8435795758</v>
      </c>
      <c r="AB33" s="3">
        <f t="shared" si="6"/>
        <v>133408.20989303669</v>
      </c>
      <c r="AC33" s="3">
        <f t="shared" si="7"/>
        <v>63966.865751050842</v>
      </c>
      <c r="AD33" s="3">
        <f t="shared" si="8"/>
        <v>147951.0404859577</v>
      </c>
      <c r="AE33" s="3">
        <f t="shared" si="9"/>
        <v>148408.20989303669</v>
      </c>
      <c r="AF33" s="3">
        <f t="shared" si="15"/>
        <v>38966.865751050842</v>
      </c>
      <c r="AG33" s="3">
        <f t="shared" si="10"/>
        <v>153438.63069682306</v>
      </c>
      <c r="AH33" s="3">
        <f t="shared" si="11"/>
        <v>43.432151722644875</v>
      </c>
      <c r="AI33" s="3">
        <f t="shared" si="12"/>
        <v>14.345601023304216</v>
      </c>
    </row>
    <row r="34" spans="4:35" x14ac:dyDescent="0.3">
      <c r="D34" s="2"/>
      <c r="E34" s="2"/>
      <c r="S34" s="6">
        <v>17</v>
      </c>
      <c r="T34" s="4">
        <f t="shared" si="0"/>
        <v>8.5</v>
      </c>
      <c r="U34" s="3">
        <f t="shared" si="13"/>
        <v>-192818.0964073803</v>
      </c>
      <c r="V34" s="3">
        <f t="shared" si="1"/>
        <v>-52024.078636683655</v>
      </c>
      <c r="W34" s="3">
        <f t="shared" si="2"/>
        <v>-38847.301334837313</v>
      </c>
      <c r="X34" s="3">
        <f t="shared" si="3"/>
        <v>2139.8005225811162</v>
      </c>
      <c r="Y34" s="3">
        <f t="shared" si="4"/>
        <v>193220.71713307107</v>
      </c>
      <c r="Z34" s="3">
        <f t="shared" si="5"/>
        <v>60536.596493880992</v>
      </c>
      <c r="AA34" s="3">
        <f t="shared" si="14"/>
        <v>202481.91288231459</v>
      </c>
      <c r="AB34" s="3">
        <f t="shared" si="6"/>
        <v>153220.71713307107</v>
      </c>
      <c r="AC34" s="3">
        <f t="shared" si="7"/>
        <v>63036.596493880992</v>
      </c>
      <c r="AD34" s="3">
        <f t="shared" si="8"/>
        <v>165681.02080897783</v>
      </c>
      <c r="AE34" s="3">
        <f t="shared" si="9"/>
        <v>168220.71713307107</v>
      </c>
      <c r="AF34" s="3">
        <f t="shared" si="15"/>
        <v>38036.596493880992</v>
      </c>
      <c r="AG34" s="3">
        <f t="shared" si="10"/>
        <v>172467.36603080312</v>
      </c>
      <c r="AH34" s="3">
        <f t="shared" si="11"/>
        <v>35.370096815588383</v>
      </c>
      <c r="AI34" s="3">
        <f t="shared" si="12"/>
        <v>10.179605693513141</v>
      </c>
    </row>
    <row r="35" spans="4:35" x14ac:dyDescent="0.3">
      <c r="D35" s="2"/>
      <c r="E35" s="2"/>
      <c r="S35" s="6">
        <v>18</v>
      </c>
      <c r="T35" s="4">
        <f t="shared" si="0"/>
        <v>9</v>
      </c>
      <c r="U35" s="3">
        <f t="shared" si="13"/>
        <v>-212232.90455059506</v>
      </c>
      <c r="V35" s="3">
        <f t="shared" si="1"/>
        <v>-50951.633473969712</v>
      </c>
      <c r="W35" s="3">
        <f t="shared" si="2"/>
        <v>-38528.970463497018</v>
      </c>
      <c r="X35" s="3">
        <f t="shared" si="3"/>
        <v>2231.4169738227342</v>
      </c>
      <c r="Y35" s="3">
        <f t="shared" si="4"/>
        <v>212818.0964073803</v>
      </c>
      <c r="Z35" s="3">
        <f t="shared" si="5"/>
        <v>59524.078636683655</v>
      </c>
      <c r="AA35" s="3">
        <f t="shared" si="14"/>
        <v>220985.65133511974</v>
      </c>
      <c r="AB35" s="3">
        <f t="shared" si="6"/>
        <v>172818.0964073803</v>
      </c>
      <c r="AC35" s="3">
        <f t="shared" si="7"/>
        <v>62024.078636683655</v>
      </c>
      <c r="AD35" s="3">
        <f t="shared" si="8"/>
        <v>183611.22181555274</v>
      </c>
      <c r="AE35" s="3">
        <f t="shared" si="9"/>
        <v>187818.0964073803</v>
      </c>
      <c r="AF35" s="3">
        <f t="shared" si="15"/>
        <v>37024.078636683655</v>
      </c>
      <c r="AG35" s="3">
        <f t="shared" si="10"/>
        <v>191432.54618007707</v>
      </c>
      <c r="AH35" s="3">
        <f t="shared" si="11"/>
        <v>29.332689777443278</v>
      </c>
      <c r="AI35" s="3">
        <f t="shared" si="12"/>
        <v>7.4448531572270973</v>
      </c>
    </row>
    <row r="36" spans="4:35" x14ac:dyDescent="0.3">
      <c r="D36" s="2"/>
      <c r="E36" s="2"/>
      <c r="S36" s="6">
        <v>19</v>
      </c>
      <c r="T36" s="4">
        <f t="shared" si="0"/>
        <v>9.5</v>
      </c>
      <c r="U36" s="3">
        <f t="shared" si="13"/>
        <v>-231490.05660989921</v>
      </c>
      <c r="V36" s="3">
        <f t="shared" si="1"/>
        <v>-49834.063773769034</v>
      </c>
      <c r="W36" s="3">
        <f t="shared" si="2"/>
        <v>-38250.309910611308</v>
      </c>
      <c r="X36" s="3">
        <f t="shared" si="3"/>
        <v>2302.1430788163916</v>
      </c>
      <c r="Y36" s="3">
        <f t="shared" si="4"/>
        <v>232232.90455059506</v>
      </c>
      <c r="Z36" s="3">
        <f t="shared" si="5"/>
        <v>58451.633473969712</v>
      </c>
      <c r="AA36" s="3">
        <f t="shared" si="14"/>
        <v>239475.91822933074</v>
      </c>
      <c r="AB36" s="3">
        <f t="shared" si="6"/>
        <v>192232.90455059506</v>
      </c>
      <c r="AC36" s="3">
        <f t="shared" si="7"/>
        <v>60951.633473969712</v>
      </c>
      <c r="AD36" s="3">
        <f t="shared" si="8"/>
        <v>201664.55121092385</v>
      </c>
      <c r="AE36" s="3">
        <f t="shared" si="9"/>
        <v>207232.90455059506</v>
      </c>
      <c r="AF36" s="3">
        <f t="shared" si="15"/>
        <v>35951.633473969712</v>
      </c>
      <c r="AG36" s="3">
        <f t="shared" si="10"/>
        <v>210328.30688693025</v>
      </c>
      <c r="AH36" s="3">
        <f t="shared" si="11"/>
        <v>24.707652970656511</v>
      </c>
      <c r="AI36" s="3">
        <f t="shared" si="12"/>
        <v>5.5825610403798471</v>
      </c>
    </row>
    <row r="37" spans="4:35" x14ac:dyDescent="0.3">
      <c r="D37" s="2"/>
      <c r="E37" s="2"/>
      <c r="S37" s="6">
        <v>20</v>
      </c>
      <c r="T37" s="4">
        <f t="shared" si="0"/>
        <v>10</v>
      </c>
      <c r="U37" s="3">
        <f t="shared" si="13"/>
        <v>-250609.0346519622</v>
      </c>
      <c r="V37" s="3">
        <f t="shared" si="1"/>
        <v>-48681.596594100745</v>
      </c>
      <c r="W37" s="3">
        <f t="shared" si="2"/>
        <v>-38003.233380904741</v>
      </c>
      <c r="X37" s="3">
        <f t="shared" si="3"/>
        <v>2357.9686892201903</v>
      </c>
      <c r="Y37" s="3">
        <f t="shared" si="4"/>
        <v>251490.05660989921</v>
      </c>
      <c r="Z37" s="3">
        <f t="shared" si="5"/>
        <v>57334.063773769034</v>
      </c>
      <c r="AA37" s="3">
        <f t="shared" si="14"/>
        <v>257942.71348976874</v>
      </c>
      <c r="AB37" s="3">
        <f t="shared" si="6"/>
        <v>211490.05660989921</v>
      </c>
      <c r="AC37" s="3">
        <f t="shared" si="7"/>
        <v>59834.063773769034</v>
      </c>
      <c r="AD37" s="3">
        <f t="shared" si="8"/>
        <v>219791.17187126019</v>
      </c>
      <c r="AE37" s="3">
        <f t="shared" si="9"/>
        <v>226490.05660989921</v>
      </c>
      <c r="AF37" s="3">
        <f t="shared" si="15"/>
        <v>34834.063773769034</v>
      </c>
      <c r="AG37" s="3">
        <f t="shared" si="10"/>
        <v>229153.13164377736</v>
      </c>
      <c r="AH37" s="3">
        <f t="shared" si="11"/>
        <v>21.092592603933532</v>
      </c>
      <c r="AI37" s="3">
        <f t="shared" si="12"/>
        <v>4.274568555358254</v>
      </c>
    </row>
    <row r="38" spans="4:35" x14ac:dyDescent="0.3">
      <c r="S38" s="6">
        <v>21</v>
      </c>
      <c r="T38" s="4">
        <f t="shared" si="0"/>
        <v>10.5</v>
      </c>
      <c r="U38" s="3">
        <f t="shared" si="13"/>
        <v>-269605.37819426355</v>
      </c>
      <c r="V38" s="3">
        <f t="shared" si="1"/>
        <v>-47501.543607351814</v>
      </c>
      <c r="W38" s="3">
        <f t="shared" si="2"/>
        <v>-37781.761158563437</v>
      </c>
      <c r="X38" s="3">
        <f t="shared" si="3"/>
        <v>2402.8516590514519</v>
      </c>
      <c r="Y38" s="3">
        <f t="shared" si="4"/>
        <v>270609.03465196223</v>
      </c>
      <c r="Z38" s="3">
        <f t="shared" si="5"/>
        <v>56181.596594100745</v>
      </c>
      <c r="AA38" s="3">
        <f t="shared" si="14"/>
        <v>276379.48807957722</v>
      </c>
      <c r="AB38" s="3">
        <f t="shared" si="6"/>
        <v>230609.0346519622</v>
      </c>
      <c r="AC38" s="3">
        <f t="shared" si="7"/>
        <v>58681.596594100745</v>
      </c>
      <c r="AD38" s="3">
        <f t="shared" si="8"/>
        <v>237958.09850043489</v>
      </c>
      <c r="AE38" s="3">
        <f t="shared" si="9"/>
        <v>245609.0346519622</v>
      </c>
      <c r="AF38" s="3">
        <f t="shared" si="15"/>
        <v>33681.596594100745</v>
      </c>
      <c r="AG38" s="3">
        <f t="shared" si="10"/>
        <v>247907.74060483975</v>
      </c>
      <c r="AH38" s="3">
        <f t="shared" si="11"/>
        <v>18.216453077063818</v>
      </c>
      <c r="AI38" s="3">
        <f t="shared" si="12"/>
        <v>3.331410599067266</v>
      </c>
    </row>
    <row r="39" spans="4:35" x14ac:dyDescent="0.3">
      <c r="S39" s="6">
        <v>22</v>
      </c>
      <c r="T39" s="4">
        <f t="shared" si="0"/>
        <v>11</v>
      </c>
      <c r="U39" s="3">
        <f t="shared" si="13"/>
        <v>-288491.70466027601</v>
      </c>
      <c r="V39" s="3">
        <f t="shared" si="1"/>
        <v>-46299.284925176325</v>
      </c>
      <c r="W39" s="3">
        <f t="shared" si="2"/>
        <v>-37581.380174715734</v>
      </c>
      <c r="X39" s="3">
        <f t="shared" si="3"/>
        <v>2439.4971756411919</v>
      </c>
      <c r="Y39" s="3">
        <f t="shared" si="4"/>
        <v>289605.37819426355</v>
      </c>
      <c r="Z39" s="3">
        <f t="shared" si="5"/>
        <v>55001.543607351814</v>
      </c>
      <c r="AA39" s="3">
        <f t="shared" si="14"/>
        <v>294782.02943570667</v>
      </c>
      <c r="AB39" s="3">
        <f t="shared" si="6"/>
        <v>249605.37819426355</v>
      </c>
      <c r="AC39" s="3">
        <f t="shared" si="7"/>
        <v>57501.543607351814</v>
      </c>
      <c r="AD39" s="3">
        <f t="shared" si="8"/>
        <v>256143.07006188852</v>
      </c>
      <c r="AE39" s="3">
        <f t="shared" si="9"/>
        <v>264605.37819426355</v>
      </c>
      <c r="AF39" s="3">
        <f t="shared" si="15"/>
        <v>32501.543607351814</v>
      </c>
      <c r="AG39" s="3">
        <f t="shared" si="10"/>
        <v>266593.99187939294</v>
      </c>
      <c r="AH39" s="3">
        <f t="shared" si="11"/>
        <v>15.892212145889371</v>
      </c>
      <c r="AI39" s="3">
        <f t="shared" si="12"/>
        <v>2.6357979812861778</v>
      </c>
    </row>
    <row r="40" spans="4:35" x14ac:dyDescent="0.3">
      <c r="D40" s="1"/>
      <c r="E40" s="1"/>
      <c r="S40" s="6">
        <v>23</v>
      </c>
      <c r="T40" s="4">
        <f t="shared" si="0"/>
        <v>11.5</v>
      </c>
      <c r="U40" s="3">
        <f t="shared" si="13"/>
        <v>-307278.4216945974</v>
      </c>
      <c r="V40" s="3">
        <f t="shared" si="1"/>
        <v>-45078.877387860404</v>
      </c>
      <c r="W40" s="3">
        <f t="shared" si="2"/>
        <v>-37398.61973503801</v>
      </c>
      <c r="X40" s="3">
        <f t="shared" si="3"/>
        <v>2469.8088524259829</v>
      </c>
      <c r="Y40" s="3">
        <f t="shared" si="4"/>
        <v>308491.70466027601</v>
      </c>
      <c r="Z40" s="3">
        <f t="shared" si="5"/>
        <v>53799.284925176325</v>
      </c>
      <c r="AA40" s="3">
        <f t="shared" si="14"/>
        <v>313147.72057714756</v>
      </c>
      <c r="AB40" s="3">
        <f t="shared" si="6"/>
        <v>268491.70466027601</v>
      </c>
      <c r="AC40" s="3">
        <f t="shared" si="7"/>
        <v>56299.284925176325</v>
      </c>
      <c r="AD40" s="3">
        <f t="shared" si="8"/>
        <v>274330.831213823</v>
      </c>
      <c r="AE40" s="3">
        <f t="shared" si="9"/>
        <v>283491.70466027601</v>
      </c>
      <c r="AF40" s="3">
        <f t="shared" si="15"/>
        <v>31299.284925176325</v>
      </c>
      <c r="AG40" s="3">
        <f t="shared" si="10"/>
        <v>285214.29110059782</v>
      </c>
      <c r="AH40" s="3">
        <f t="shared" si="11"/>
        <v>13.987900507231192</v>
      </c>
      <c r="AI40" s="3">
        <f t="shared" si="12"/>
        <v>2.1126337326544502</v>
      </c>
    </row>
    <row r="41" spans="4:35" x14ac:dyDescent="0.3">
      <c r="S41" s="6">
        <v>24</v>
      </c>
      <c r="T41" s="4">
        <f t="shared" si="0"/>
        <v>12</v>
      </c>
      <c r="U41" s="3">
        <f t="shared" si="13"/>
        <v>-325974.23458698962</v>
      </c>
      <c r="V41" s="3">
        <f t="shared" si="1"/>
        <v>-43843.444803214254</v>
      </c>
      <c r="W41" s="3">
        <f t="shared" si="2"/>
        <v>-37230.764928951234</v>
      </c>
      <c r="X41" s="3">
        <f t="shared" si="3"/>
        <v>2495.1604572178362</v>
      </c>
      <c r="Y41" s="3">
        <f t="shared" si="4"/>
        <v>327278.4216945974</v>
      </c>
      <c r="Z41" s="3">
        <f t="shared" si="5"/>
        <v>52578.877387860404</v>
      </c>
      <c r="AA41" s="3">
        <f t="shared" si="14"/>
        <v>331475.04227961774</v>
      </c>
      <c r="AB41" s="3">
        <f t="shared" si="6"/>
        <v>287278.4216945974</v>
      </c>
      <c r="AC41" s="3">
        <f t="shared" si="7"/>
        <v>55078.877387860404</v>
      </c>
      <c r="AD41" s="3">
        <f t="shared" si="8"/>
        <v>292510.81057910644</v>
      </c>
      <c r="AE41" s="3">
        <f t="shared" si="9"/>
        <v>302278.4216945974</v>
      </c>
      <c r="AF41" s="3">
        <f t="shared" si="15"/>
        <v>30078.877387860404</v>
      </c>
      <c r="AG41" s="3">
        <f t="shared" si="10"/>
        <v>303771.2677115642</v>
      </c>
      <c r="AH41" s="3">
        <f t="shared" si="11"/>
        <v>12.408459272762309</v>
      </c>
      <c r="AI41" s="3">
        <f t="shared" si="12"/>
        <v>1.7123986162111788</v>
      </c>
    </row>
    <row r="42" spans="4:35" x14ac:dyDescent="0.3">
      <c r="D42" s="1"/>
      <c r="E42" s="1"/>
      <c r="S42" s="6">
        <v>25</v>
      </c>
      <c r="T42" s="4">
        <f t="shared" si="0"/>
        <v>12.5</v>
      </c>
      <c r="U42" s="3">
        <f t="shared" si="13"/>
        <v>-344586.51493664709</v>
      </c>
      <c r="V42" s="3">
        <f t="shared" si="1"/>
        <v>-42595.436474951282</v>
      </c>
      <c r="W42" s="3">
        <f t="shared" si="2"/>
        <v>-37075.659188041704</v>
      </c>
      <c r="X42" s="3">
        <f t="shared" si="3"/>
        <v>2516.5654399204759</v>
      </c>
      <c r="Y42" s="3">
        <f t="shared" si="4"/>
        <v>345974.23458698962</v>
      </c>
      <c r="Z42" s="3">
        <f t="shared" si="5"/>
        <v>51343.444803214254</v>
      </c>
      <c r="AA42" s="3">
        <f t="shared" si="14"/>
        <v>349763.23466355645</v>
      </c>
      <c r="AB42" s="3">
        <f t="shared" si="6"/>
        <v>305974.23458698962</v>
      </c>
      <c r="AC42" s="3">
        <f t="shared" si="7"/>
        <v>53843.444803214254</v>
      </c>
      <c r="AD42" s="3">
        <f t="shared" si="8"/>
        <v>310675.63274156366</v>
      </c>
      <c r="AE42" s="3">
        <f t="shared" si="9"/>
        <v>320974.23458698962</v>
      </c>
      <c r="AF42" s="3">
        <f t="shared" si="15"/>
        <v>28843.444803214254</v>
      </c>
      <c r="AG42" s="3">
        <f t="shared" si="10"/>
        <v>322267.59622527973</v>
      </c>
      <c r="AH42" s="3">
        <f t="shared" si="11"/>
        <v>11.084121617205266</v>
      </c>
      <c r="AI42" s="3">
        <f t="shared" si="12"/>
        <v>1.4015833393448696</v>
      </c>
    </row>
    <row r="43" spans="4:35" x14ac:dyDescent="0.3">
      <c r="D43" s="1"/>
      <c r="E43" s="1"/>
      <c r="S43" s="6">
        <v>26</v>
      </c>
      <c r="T43" s="4">
        <f t="shared" si="0"/>
        <v>13</v>
      </c>
      <c r="U43" s="3">
        <f t="shared" si="13"/>
        <v>-363121.57350026362</v>
      </c>
      <c r="V43" s="3">
        <f t="shared" si="1"/>
        <v>-41336.803359156205</v>
      </c>
      <c r="W43" s="3">
        <f t="shared" si="2"/>
        <v>-36931.565607018034</v>
      </c>
      <c r="X43" s="3">
        <f t="shared" si="3"/>
        <v>2534.7860233319593</v>
      </c>
      <c r="Y43" s="3">
        <f t="shared" si="4"/>
        <v>364586.51493664709</v>
      </c>
      <c r="Z43" s="3">
        <f t="shared" si="5"/>
        <v>50095.436474951282</v>
      </c>
      <c r="AA43" s="3">
        <f t="shared" si="14"/>
        <v>368012.06451591483</v>
      </c>
      <c r="AB43" s="3">
        <f t="shared" si="6"/>
        <v>324586.51493664709</v>
      </c>
      <c r="AC43" s="3">
        <f t="shared" si="7"/>
        <v>52595.436474951282</v>
      </c>
      <c r="AD43" s="3">
        <f t="shared" si="8"/>
        <v>328820.14174425026</v>
      </c>
      <c r="AE43" s="3">
        <f t="shared" si="9"/>
        <v>339586.51493664709</v>
      </c>
      <c r="AF43" s="3">
        <f t="shared" si="15"/>
        <v>27595.436474951282</v>
      </c>
      <c r="AG43" s="3">
        <f t="shared" si="10"/>
        <v>340705.89845357934</v>
      </c>
      <c r="AH43" s="3">
        <f t="shared" si="11"/>
        <v>9.9628053514139694</v>
      </c>
      <c r="AI43" s="3">
        <f t="shared" si="12"/>
        <v>1.1569874632375241</v>
      </c>
    </row>
    <row r="44" spans="4:35" x14ac:dyDescent="0.3">
      <c r="D44" s="1"/>
      <c r="E44" s="1"/>
      <c r="S44" s="6">
        <v>27</v>
      </c>
      <c r="T44" s="4">
        <f t="shared" si="0"/>
        <v>13.5</v>
      </c>
      <c r="U44" s="3">
        <f t="shared" si="13"/>
        <v>-381584.86560243479</v>
      </c>
      <c r="V44" s="3">
        <f t="shared" si="1"/>
        <v>-40069.121100624412</v>
      </c>
      <c r="W44" s="3">
        <f t="shared" si="2"/>
        <v>-36797.067734773947</v>
      </c>
      <c r="X44" s="3">
        <f t="shared" si="3"/>
        <v>2550.4053540856657</v>
      </c>
      <c r="Y44" s="3">
        <f t="shared" si="4"/>
        <v>383121.57350026362</v>
      </c>
      <c r="Z44" s="3">
        <f t="shared" si="5"/>
        <v>48836.803359156205</v>
      </c>
      <c r="AA44" s="3">
        <f t="shared" si="14"/>
        <v>386221.66361256689</v>
      </c>
      <c r="AB44" s="3">
        <f t="shared" si="6"/>
        <v>343121.57350026362</v>
      </c>
      <c r="AC44" s="3">
        <f t="shared" si="7"/>
        <v>51336.803359156205</v>
      </c>
      <c r="AD44" s="3">
        <f t="shared" si="8"/>
        <v>346940.74649777514</v>
      </c>
      <c r="AE44" s="3">
        <f t="shared" si="9"/>
        <v>358121.57350026362</v>
      </c>
      <c r="AF44" s="3">
        <f t="shared" si="15"/>
        <v>26336.803359156205</v>
      </c>
      <c r="AG44" s="3">
        <f t="shared" si="10"/>
        <v>359088.69185409276</v>
      </c>
      <c r="AH44" s="3">
        <f t="shared" si="11"/>
        <v>9.0050256587182069</v>
      </c>
      <c r="AI44" s="3">
        <f t="shared" si="12"/>
        <v>0.96221761060817146</v>
      </c>
    </row>
    <row r="45" spans="4:35" x14ac:dyDescent="0.3">
      <c r="D45" s="1"/>
      <c r="E45" s="1"/>
      <c r="S45" s="6">
        <v>28</v>
      </c>
      <c r="T45" s="4">
        <f t="shared" si="0"/>
        <v>14</v>
      </c>
      <c r="U45" s="3">
        <f t="shared" si="13"/>
        <v>-399981.14821340708</v>
      </c>
      <c r="V45" s="3">
        <f t="shared" si="1"/>
        <v>-38793.677869178922</v>
      </c>
      <c r="W45" s="3">
        <f t="shared" si="2"/>
        <v>-36670.997375551895</v>
      </c>
      <c r="X45" s="3">
        <f t="shared" si="3"/>
        <v>2563.8764006341803</v>
      </c>
      <c r="Y45" s="3">
        <f t="shared" si="4"/>
        <v>401584.86560243479</v>
      </c>
      <c r="Z45" s="3">
        <f t="shared" si="5"/>
        <v>47569.121100624412</v>
      </c>
      <c r="AA45" s="3">
        <f t="shared" si="14"/>
        <v>404392.41531365481</v>
      </c>
      <c r="AB45" s="3">
        <f t="shared" si="6"/>
        <v>361584.86560243479</v>
      </c>
      <c r="AC45" s="3">
        <f t="shared" si="7"/>
        <v>50069.121100624412</v>
      </c>
      <c r="AD45" s="3">
        <f t="shared" si="8"/>
        <v>365034.97355804115</v>
      </c>
      <c r="AE45" s="3">
        <f t="shared" si="9"/>
        <v>376584.86560243479</v>
      </c>
      <c r="AF45" s="3">
        <f t="shared" si="15"/>
        <v>25069.121100624412</v>
      </c>
      <c r="AG45" s="3">
        <f t="shared" si="10"/>
        <v>377418.36446251743</v>
      </c>
      <c r="AH45" s="3">
        <f t="shared" si="11"/>
        <v>8.1804254633200806</v>
      </c>
      <c r="AI45" s="3">
        <f t="shared" si="12"/>
        <v>0.80547740808936996</v>
      </c>
    </row>
    <row r="46" spans="4:35" x14ac:dyDescent="0.3">
      <c r="D46" s="1"/>
      <c r="E46" s="1"/>
      <c r="S46" s="6">
        <v>29</v>
      </c>
      <c r="T46" s="4">
        <f t="shared" si="0"/>
        <v>14.5</v>
      </c>
      <c r="U46" s="3">
        <f t="shared" si="13"/>
        <v>-418314.60179481719</v>
      </c>
      <c r="V46" s="3">
        <f t="shared" si="1"/>
        <v>-37511.538299509812</v>
      </c>
      <c r="W46" s="3">
        <f t="shared" si="2"/>
        <v>-36552.381206333754</v>
      </c>
      <c r="X46" s="3">
        <f t="shared" si="3"/>
        <v>2575.5558230514762</v>
      </c>
      <c r="Y46" s="3">
        <f t="shared" si="4"/>
        <v>419981.14821340708</v>
      </c>
      <c r="Z46" s="3">
        <f t="shared" si="5"/>
        <v>46293.677869178922</v>
      </c>
      <c r="AA46" s="3">
        <f t="shared" si="14"/>
        <v>422524.8743746421</v>
      </c>
      <c r="AB46" s="3">
        <f t="shared" si="6"/>
        <v>379981.14821340708</v>
      </c>
      <c r="AC46" s="3">
        <f t="shared" si="7"/>
        <v>48793.677869178922</v>
      </c>
      <c r="AD46" s="3">
        <f t="shared" si="8"/>
        <v>383101.15635113977</v>
      </c>
      <c r="AE46" s="3">
        <f t="shared" si="9"/>
        <v>394981.14821340708</v>
      </c>
      <c r="AF46" s="3">
        <f t="shared" si="15"/>
        <v>23793.677869178922</v>
      </c>
      <c r="AG46" s="3">
        <f t="shared" si="10"/>
        <v>395697.1652040531</v>
      </c>
      <c r="AH46" s="3">
        <f t="shared" si="11"/>
        <v>7.4653654505145894</v>
      </c>
      <c r="AI46" s="3">
        <f t="shared" si="12"/>
        <v>0.6781382999608514</v>
      </c>
    </row>
    <row r="47" spans="4:35" x14ac:dyDescent="0.3">
      <c r="D47" s="1"/>
      <c r="E47" s="1"/>
      <c r="S47" s="6">
        <v>30</v>
      </c>
      <c r="T47" s="4">
        <f t="shared" si="0"/>
        <v>15</v>
      </c>
      <c r="U47" s="3">
        <f t="shared" si="13"/>
        <v>-436588.92605662142</v>
      </c>
      <c r="V47" s="3">
        <f t="shared" si="1"/>
        <v>-36223.590853409085</v>
      </c>
      <c r="W47" s="3">
        <f t="shared" si="2"/>
        <v>-36440.400724576037</v>
      </c>
      <c r="X47" s="3">
        <f t="shared" si="3"/>
        <v>2585.7278975508889</v>
      </c>
      <c r="Y47" s="3">
        <f t="shared" si="4"/>
        <v>438314.60179481719</v>
      </c>
      <c r="Z47" s="3">
        <f t="shared" si="5"/>
        <v>45011.538299509812</v>
      </c>
      <c r="AA47" s="3">
        <f t="shared" si="14"/>
        <v>440619.70987081068</v>
      </c>
      <c r="AB47" s="3">
        <f t="shared" si="6"/>
        <v>398314.60179481719</v>
      </c>
      <c r="AC47" s="3">
        <f t="shared" si="7"/>
        <v>47511.538299509812</v>
      </c>
      <c r="AD47" s="3">
        <f t="shared" si="8"/>
        <v>401138.2159238254</v>
      </c>
      <c r="AE47" s="3">
        <f t="shared" si="9"/>
        <v>413314.60179481719</v>
      </c>
      <c r="AF47" s="3">
        <f t="shared" si="15"/>
        <v>22511.538299509812</v>
      </c>
      <c r="AG47" s="3">
        <f t="shared" si="10"/>
        <v>413927.20303625683</v>
      </c>
      <c r="AH47" s="3">
        <f t="shared" si="11"/>
        <v>6.8412216249796662</v>
      </c>
      <c r="AI47" s="3">
        <f t="shared" si="12"/>
        <v>0.57379482783599767</v>
      </c>
    </row>
    <row r="48" spans="4:35" x14ac:dyDescent="0.3">
      <c r="S48" s="6">
        <v>31</v>
      </c>
      <c r="T48" s="4">
        <f t="shared" si="0"/>
        <v>15.5</v>
      </c>
      <c r="U48" s="3">
        <f t="shared" si="13"/>
        <v>-454807.41611350322</v>
      </c>
      <c r="V48" s="3">
        <f t="shared" si="1"/>
        <v>-34930.583455926688</v>
      </c>
      <c r="W48" s="3">
        <f t="shared" si="2"/>
        <v>-36334.361789388851</v>
      </c>
      <c r="X48" s="3">
        <f t="shared" si="3"/>
        <v>2594.621717382347</v>
      </c>
      <c r="Y48" s="3">
        <f t="shared" si="4"/>
        <v>456588.92605662142</v>
      </c>
      <c r="Z48" s="3">
        <f t="shared" si="5"/>
        <v>43723.590853409085</v>
      </c>
      <c r="AA48" s="3">
        <f t="shared" si="14"/>
        <v>458677.66437298345</v>
      </c>
      <c r="AB48" s="3">
        <f t="shared" si="6"/>
        <v>416588.92605662142</v>
      </c>
      <c r="AC48" s="3">
        <f t="shared" si="7"/>
        <v>46223.590853409085</v>
      </c>
      <c r="AD48" s="3">
        <f t="shared" si="8"/>
        <v>419145.50416817376</v>
      </c>
      <c r="AE48" s="3">
        <f t="shared" si="9"/>
        <v>431588.92605662142</v>
      </c>
      <c r="AF48" s="3">
        <f t="shared" si="15"/>
        <v>21223.590853409085</v>
      </c>
      <c r="AG48" s="3">
        <f t="shared" si="10"/>
        <v>432110.45104628138</v>
      </c>
      <c r="AH48" s="3">
        <f t="shared" si="11"/>
        <v>6.293163804392961</v>
      </c>
      <c r="AI48" s="3">
        <f t="shared" si="12"/>
        <v>0.48762762448603558</v>
      </c>
    </row>
    <row r="49" spans="19:35" x14ac:dyDescent="0.3">
      <c r="S49" s="6">
        <v>32</v>
      </c>
      <c r="T49" s="4">
        <f t="shared" si="0"/>
        <v>16</v>
      </c>
      <c r="U49" s="3">
        <f t="shared" si="13"/>
        <v>-472973.02371724654</v>
      </c>
      <c r="V49" s="3">
        <f t="shared" si="1"/>
        <v>-33633.150690329392</v>
      </c>
      <c r="W49" s="3">
        <f t="shared" si="2"/>
        <v>-36233.671168518566</v>
      </c>
      <c r="X49" s="3">
        <f t="shared" si="3"/>
        <v>2602.4237593741236</v>
      </c>
      <c r="Y49" s="3">
        <f t="shared" si="4"/>
        <v>474807.41611350322</v>
      </c>
      <c r="Z49" s="3">
        <f t="shared" si="5"/>
        <v>42430.583455926688</v>
      </c>
      <c r="AA49" s="3">
        <f t="shared" si="14"/>
        <v>476699.52465761045</v>
      </c>
      <c r="AB49" s="3">
        <f t="shared" si="6"/>
        <v>434807.41611350322</v>
      </c>
      <c r="AC49" s="3">
        <f t="shared" si="7"/>
        <v>44930.583455926688</v>
      </c>
      <c r="AD49" s="3">
        <f t="shared" si="8"/>
        <v>437122.69037078269</v>
      </c>
      <c r="AE49" s="3">
        <f t="shared" si="9"/>
        <v>449807.41611350322</v>
      </c>
      <c r="AF49" s="3">
        <f t="shared" si="15"/>
        <v>19930.583455926688</v>
      </c>
      <c r="AG49" s="3">
        <f t="shared" si="10"/>
        <v>450248.75318827911</v>
      </c>
      <c r="AH49" s="3">
        <f t="shared" si="11"/>
        <v>5.8092664912351921</v>
      </c>
      <c r="AI49" s="3">
        <f t="shared" si="12"/>
        <v>0.41596606872654729</v>
      </c>
    </row>
    <row r="50" spans="19:35" x14ac:dyDescent="0.3">
      <c r="S50" s="6">
        <v>33</v>
      </c>
      <c r="T50" s="4">
        <f t="shared" si="0"/>
        <v>16.5</v>
      </c>
      <c r="U50" s="3">
        <f t="shared" si="13"/>
        <v>-491088.40698488301</v>
      </c>
      <c r="V50" s="3">
        <f t="shared" si="1"/>
        <v>-32331.834819125146</v>
      </c>
      <c r="W50" s="3">
        <f t="shared" si="2"/>
        <v>-36137.818271413184</v>
      </c>
      <c r="X50" s="3">
        <f t="shared" si="3"/>
        <v>2609.2871995081118</v>
      </c>
      <c r="Y50" s="3">
        <f t="shared" si="4"/>
        <v>492973.02371724654</v>
      </c>
      <c r="Z50" s="3">
        <f t="shared" si="5"/>
        <v>41133.150690329392</v>
      </c>
      <c r="AA50" s="3">
        <f t="shared" si="14"/>
        <v>494686.10067257629</v>
      </c>
      <c r="AB50" s="3">
        <f t="shared" si="6"/>
        <v>452973.02371724654</v>
      </c>
      <c r="AC50" s="3">
        <f t="shared" si="7"/>
        <v>43633.150690329392</v>
      </c>
      <c r="AD50" s="3">
        <f t="shared" si="8"/>
        <v>455069.67824137677</v>
      </c>
      <c r="AE50" s="3">
        <f t="shared" si="9"/>
        <v>467973.02371724654</v>
      </c>
      <c r="AF50" s="3">
        <f t="shared" si="15"/>
        <v>18633.150690329392</v>
      </c>
      <c r="AG50" s="3">
        <f t="shared" si="10"/>
        <v>468343.83227679122</v>
      </c>
      <c r="AH50" s="3">
        <f t="shared" si="11"/>
        <v>5.3798530230357624</v>
      </c>
      <c r="AI50" s="3">
        <f t="shared" si="12"/>
        <v>0.35598303342166426</v>
      </c>
    </row>
    <row r="51" spans="19:35" x14ac:dyDescent="0.3">
      <c r="S51" s="6">
        <v>34</v>
      </c>
      <c r="T51" s="4">
        <f t="shared" si="0"/>
        <v>17</v>
      </c>
      <c r="U51" s="3">
        <f t="shared" si="13"/>
        <v>-509155.97115733387</v>
      </c>
      <c r="V51" s="3">
        <f t="shared" si="1"/>
        <v>-31027.102223612732</v>
      </c>
      <c r="W51" s="3">
        <f t="shared" si="2"/>
        <v>-36046.360770021573</v>
      </c>
      <c r="X51" s="3">
        <f t="shared" si="3"/>
        <v>2615.3389110762801</v>
      </c>
      <c r="Y51" s="3">
        <f t="shared" si="4"/>
        <v>511088.40698488301</v>
      </c>
      <c r="Z51" s="3">
        <f t="shared" si="5"/>
        <v>39831.834819125143</v>
      </c>
      <c r="AA51" s="3">
        <f t="shared" si="14"/>
        <v>512638.21045587648</v>
      </c>
      <c r="AB51" s="3">
        <f t="shared" si="6"/>
        <v>471088.40698488301</v>
      </c>
      <c r="AC51" s="3">
        <f t="shared" si="7"/>
        <v>42331.834819125143</v>
      </c>
      <c r="AD51" s="3">
        <f t="shared" si="8"/>
        <v>472986.54466560512</v>
      </c>
      <c r="AE51" s="3">
        <f t="shared" si="9"/>
        <v>486088.40698488301</v>
      </c>
      <c r="AF51" s="3">
        <f t="shared" si="15"/>
        <v>17331.834819125146</v>
      </c>
      <c r="AG51" s="3">
        <f t="shared" si="10"/>
        <v>486397.29841282906</v>
      </c>
      <c r="AH51" s="3">
        <f t="shared" si="11"/>
        <v>4.9970058097420917</v>
      </c>
      <c r="AI51" s="3">
        <f t="shared" si="12"/>
        <v>0.30547859195820681</v>
      </c>
    </row>
    <row r="52" spans="19:35" x14ac:dyDescent="0.3">
      <c r="S52" s="6">
        <v>35</v>
      </c>
      <c r="T52" s="4">
        <f t="shared" si="0"/>
        <v>17.5</v>
      </c>
      <c r="U52" s="3">
        <f t="shared" si="13"/>
        <v>-527177.90229089232</v>
      </c>
      <c r="V52" s="3">
        <f t="shared" si="1"/>
        <v>-29719.356398426604</v>
      </c>
      <c r="W52" s="3">
        <f t="shared" si="2"/>
        <v>-35958.913168351086</v>
      </c>
      <c r="X52" s="3">
        <f t="shared" si="3"/>
        <v>2620.6847864355486</v>
      </c>
      <c r="Y52" s="3">
        <f t="shared" si="4"/>
        <v>529155.97115733381</v>
      </c>
      <c r="Z52" s="3">
        <f t="shared" si="5"/>
        <v>38527.102223612732</v>
      </c>
      <c r="AA52" s="3">
        <f t="shared" si="14"/>
        <v>530556.66937397921</v>
      </c>
      <c r="AB52" s="3">
        <f t="shared" si="6"/>
        <v>489155.97115733387</v>
      </c>
      <c r="AC52" s="3">
        <f t="shared" si="7"/>
        <v>41027.102223612732</v>
      </c>
      <c r="AD52" s="3">
        <f t="shared" si="8"/>
        <v>490873.49412627815</v>
      </c>
      <c r="AE52" s="3">
        <f t="shared" si="9"/>
        <v>504155.97115733387</v>
      </c>
      <c r="AF52" s="3">
        <f t="shared" si="15"/>
        <v>16027.102223612732</v>
      </c>
      <c r="AG52" s="3">
        <f t="shared" si="10"/>
        <v>504410.65736092511</v>
      </c>
      <c r="AH52" s="3">
        <f t="shared" si="11"/>
        <v>4.6541964043286299</v>
      </c>
      <c r="AI52" s="3">
        <f t="shared" si="12"/>
        <v>0.26272461943663372</v>
      </c>
    </row>
    <row r="53" spans="19:35" x14ac:dyDescent="0.3">
      <c r="S53" s="6">
        <v>36</v>
      </c>
      <c r="T53" s="4">
        <f t="shared" si="0"/>
        <v>18</v>
      </c>
      <c r="U53" s="3">
        <f t="shared" si="13"/>
        <v>-545156.19532596681</v>
      </c>
      <c r="V53" s="3">
        <f t="shared" si="1"/>
        <v>-28408.94832405397</v>
      </c>
      <c r="W53" s="3">
        <f t="shared" si="2"/>
        <v>-35875.137633073173</v>
      </c>
      <c r="X53" s="3">
        <f t="shared" si="3"/>
        <v>2625.4138295854082</v>
      </c>
      <c r="Y53" s="3">
        <f t="shared" si="4"/>
        <v>547177.90229089232</v>
      </c>
      <c r="Z53" s="3">
        <f t="shared" si="5"/>
        <v>37219.356398426607</v>
      </c>
      <c r="AA53" s="3">
        <f t="shared" si="14"/>
        <v>548442.28251127247</v>
      </c>
      <c r="AB53" s="3">
        <f t="shared" si="6"/>
        <v>507177.90229089232</v>
      </c>
      <c r="AC53" s="3">
        <f t="shared" si="7"/>
        <v>39719.356398426607</v>
      </c>
      <c r="AD53" s="3">
        <f t="shared" si="8"/>
        <v>508730.82454761391</v>
      </c>
      <c r="AE53" s="3">
        <f t="shared" si="9"/>
        <v>522177.90229089232</v>
      </c>
      <c r="AF53" s="3">
        <f t="shared" si="15"/>
        <v>14719.356398426604</v>
      </c>
      <c r="AG53" s="3">
        <f t="shared" si="10"/>
        <v>522385.31860466808</v>
      </c>
      <c r="AH53" s="3">
        <f t="shared" si="11"/>
        <v>4.3460031113468496</v>
      </c>
      <c r="AI53" s="3">
        <f t="shared" si="12"/>
        <v>0.22635170893538209</v>
      </c>
    </row>
    <row r="54" spans="19:35" x14ac:dyDescent="0.3">
      <c r="S54" s="6">
        <v>37</v>
      </c>
      <c r="T54" s="4">
        <f t="shared" si="0"/>
        <v>18.5</v>
      </c>
      <c r="U54" s="3">
        <f t="shared" si="13"/>
        <v>-563092.67764172552</v>
      </c>
      <c r="V54" s="3">
        <f t="shared" si="1"/>
        <v>-27096.184821334034</v>
      </c>
      <c r="W54" s="3">
        <f t="shared" si="2"/>
        <v>-35794.736575513256</v>
      </c>
      <c r="X54" s="3">
        <f t="shared" si="3"/>
        <v>2629.6013362007129</v>
      </c>
      <c r="Y54" s="3">
        <f t="shared" si="4"/>
        <v>565156.19532596681</v>
      </c>
      <c r="Z54" s="3">
        <f t="shared" si="5"/>
        <v>35908.94832405397</v>
      </c>
      <c r="AA54" s="3">
        <f t="shared" si="14"/>
        <v>566295.83936760644</v>
      </c>
      <c r="AB54" s="3">
        <f t="shared" si="6"/>
        <v>525156.19532596681</v>
      </c>
      <c r="AC54" s="3">
        <f t="shared" si="7"/>
        <v>38408.94832405397</v>
      </c>
      <c r="AD54" s="3">
        <f t="shared" si="8"/>
        <v>526558.90154910961</v>
      </c>
      <c r="AE54" s="3">
        <f t="shared" si="9"/>
        <v>540156.19532596681</v>
      </c>
      <c r="AF54" s="3">
        <f t="shared" si="15"/>
        <v>13408.94832405397</v>
      </c>
      <c r="AG54" s="3">
        <f t="shared" si="10"/>
        <v>540322.60293659859</v>
      </c>
      <c r="AH54" s="3">
        <f t="shared" si="11"/>
        <v>4.0678932837715092</v>
      </c>
      <c r="AI54" s="3">
        <f t="shared" si="12"/>
        <v>0.19526590274886638</v>
      </c>
    </row>
    <row r="55" spans="19:35" x14ac:dyDescent="0.3">
      <c r="S55" s="6">
        <v>38</v>
      </c>
      <c r="T55" s="4">
        <f t="shared" si="0"/>
        <v>19</v>
      </c>
      <c r="U55" s="3">
        <f t="shared" si="13"/>
        <v>-580989.02895616111</v>
      </c>
      <c r="V55" s="3">
        <f t="shared" si="1"/>
        <v>-25781.335336757991</v>
      </c>
      <c r="W55" s="3">
        <f t="shared" si="2"/>
        <v>-35717.4466031216</v>
      </c>
      <c r="X55" s="3">
        <f t="shared" si="3"/>
        <v>2633.3113883529413</v>
      </c>
      <c r="Y55" s="3">
        <f t="shared" si="4"/>
        <v>583092.67764172552</v>
      </c>
      <c r="Z55" s="3">
        <f t="shared" si="5"/>
        <v>34596.184821334034</v>
      </c>
      <c r="AA55" s="3">
        <f t="shared" si="14"/>
        <v>584118.11025133356</v>
      </c>
      <c r="AB55" s="3">
        <f t="shared" si="6"/>
        <v>543092.67764172552</v>
      </c>
      <c r="AC55" s="3">
        <f t="shared" si="7"/>
        <v>37096.184821334034</v>
      </c>
      <c r="AD55" s="3">
        <f t="shared" si="8"/>
        <v>544358.13894563727</v>
      </c>
      <c r="AE55" s="3">
        <f t="shared" si="9"/>
        <v>558092.67764172552</v>
      </c>
      <c r="AF55" s="3">
        <f t="shared" si="15"/>
        <v>12096.184821334034</v>
      </c>
      <c r="AG55" s="3">
        <f t="shared" si="10"/>
        <v>558223.74951675325</v>
      </c>
      <c r="AH55" s="3">
        <f t="shared" si="11"/>
        <v>3.8160539402395783</v>
      </c>
      <c r="AI55" s="3">
        <f t="shared" si="12"/>
        <v>0.16858670267762246</v>
      </c>
    </row>
    <row r="56" spans="19:35" x14ac:dyDescent="0.3">
      <c r="S56" s="6">
        <v>39</v>
      </c>
      <c r="T56" s="4">
        <f t="shared" si="0"/>
        <v>19.5</v>
      </c>
      <c r="U56" s="3">
        <f t="shared" si="13"/>
        <v>-598846.79824423685</v>
      </c>
      <c r="V56" s="3">
        <f t="shared" si="1"/>
        <v>-24464.637495905848</v>
      </c>
      <c r="W56" s="3">
        <f t="shared" si="2"/>
        <v>-35643.033551286928</v>
      </c>
      <c r="X56" s="3">
        <f t="shared" si="3"/>
        <v>2636.598829055155</v>
      </c>
      <c r="Y56" s="3">
        <f t="shared" si="4"/>
        <v>600989.02895616111</v>
      </c>
      <c r="Z56" s="3">
        <f t="shared" si="5"/>
        <v>33281.335336757991</v>
      </c>
      <c r="AA56" s="3">
        <f t="shared" si="14"/>
        <v>601909.84391972458</v>
      </c>
      <c r="AB56" s="3">
        <f t="shared" si="6"/>
        <v>560989.02895616111</v>
      </c>
      <c r="AC56" s="3">
        <f t="shared" si="7"/>
        <v>35781.335336757991</v>
      </c>
      <c r="AD56" s="3">
        <f t="shared" si="8"/>
        <v>562128.98392420402</v>
      </c>
      <c r="AE56" s="3">
        <f t="shared" si="9"/>
        <v>575989.02895616111</v>
      </c>
      <c r="AF56" s="3">
        <f t="shared" si="15"/>
        <v>10781.335336757991</v>
      </c>
      <c r="AG56" s="3">
        <f t="shared" si="10"/>
        <v>576089.92238148465</v>
      </c>
      <c r="AH56" s="3">
        <f t="shared" si="11"/>
        <v>3.5872588413165269</v>
      </c>
      <c r="AI56" s="3">
        <f t="shared" si="12"/>
        <v>0.14560044947378484</v>
      </c>
    </row>
    <row r="57" spans="19:35" x14ac:dyDescent="0.3">
      <c r="S57" s="6">
        <v>40</v>
      </c>
      <c r="T57" s="4">
        <f t="shared" si="0"/>
        <v>20</v>
      </c>
      <c r="U57" s="3">
        <f t="shared" si="13"/>
        <v>-616667.41820516996</v>
      </c>
      <c r="V57" s="3">
        <f t="shared" si="1"/>
        <v>-23146.301681265904</v>
      </c>
      <c r="W57" s="3">
        <f t="shared" si="2"/>
        <v>-35571.288374460601</v>
      </c>
      <c r="X57" s="3">
        <f t="shared" si="3"/>
        <v>2639.5108380446309</v>
      </c>
      <c r="Y57" s="3">
        <f t="shared" si="4"/>
        <v>618846.79824423685</v>
      </c>
      <c r="Z57" s="3">
        <f t="shared" si="5"/>
        <v>31964.637495905848</v>
      </c>
      <c r="AA57" s="3">
        <f t="shared" si="14"/>
        <v>619671.76613703149</v>
      </c>
      <c r="AB57" s="3">
        <f t="shared" si="6"/>
        <v>578846.79824423685</v>
      </c>
      <c r="AC57" s="3">
        <f t="shared" si="7"/>
        <v>34464.637495905845</v>
      </c>
      <c r="AD57" s="3">
        <f t="shared" si="8"/>
        <v>579871.90574757836</v>
      </c>
      <c r="AE57" s="3">
        <f t="shared" si="9"/>
        <v>593846.79824423685</v>
      </c>
      <c r="AF57" s="3">
        <f t="shared" si="15"/>
        <v>9464.6374959058485</v>
      </c>
      <c r="AG57" s="3">
        <f t="shared" si="10"/>
        <v>593922.21641209908</v>
      </c>
      <c r="AH57" s="3">
        <f t="shared" si="11"/>
        <v>3.3787633354418523</v>
      </c>
      <c r="AI57" s="3">
        <f t="shared" si="12"/>
        <v>0.12572492685029132</v>
      </c>
    </row>
    <row r="58" spans="19:35" x14ac:dyDescent="0.3">
      <c r="S58" s="6">
        <v>41</v>
      </c>
      <c r="T58" s="4">
        <f t="shared" si="0"/>
        <v>20.5</v>
      </c>
      <c r="U58" s="3">
        <f t="shared" si="13"/>
        <v>-634452.21770156641</v>
      </c>
      <c r="V58" s="3">
        <f t="shared" si="1"/>
        <v>-21826.514831011875</v>
      </c>
      <c r="W58" s="3">
        <f t="shared" si="2"/>
        <v>-35502.023726084044</v>
      </c>
      <c r="X58" s="3">
        <f t="shared" si="3"/>
        <v>2642.0881990450616</v>
      </c>
      <c r="Y58" s="3">
        <f t="shared" si="4"/>
        <v>636667.41820516996</v>
      </c>
      <c r="Z58" s="3">
        <f t="shared" si="5"/>
        <v>30646.301681265904</v>
      </c>
      <c r="AA58" s="3">
        <f t="shared" si="14"/>
        <v>637404.57890634576</v>
      </c>
      <c r="AB58" s="3">
        <f t="shared" si="6"/>
        <v>596667.41820516996</v>
      </c>
      <c r="AC58" s="3">
        <f t="shared" si="7"/>
        <v>33146.301681265904</v>
      </c>
      <c r="AD58" s="3">
        <f t="shared" si="8"/>
        <v>597587.38713494339</v>
      </c>
      <c r="AE58" s="3">
        <f t="shared" si="9"/>
        <v>611667.41820516996</v>
      </c>
      <c r="AF58" s="3">
        <f t="shared" si="15"/>
        <v>8146.3016812659043</v>
      </c>
      <c r="AG58" s="3">
        <f t="shared" si="10"/>
        <v>611721.66278860881</v>
      </c>
      <c r="AH58" s="3">
        <f t="shared" si="11"/>
        <v>3.1882205438346825</v>
      </c>
      <c r="AI58" s="3">
        <f t="shared" si="12"/>
        <v>0.10848224849432528</v>
      </c>
    </row>
    <row r="59" spans="19:35" x14ac:dyDescent="0.3">
      <c r="S59" s="6">
        <v>42</v>
      </c>
      <c r="T59" s="4">
        <f t="shared" si="0"/>
        <v>21</v>
      </c>
      <c r="U59" s="3">
        <f t="shared" si="13"/>
        <v>-652202.43250947248</v>
      </c>
      <c r="V59" s="3">
        <f t="shared" si="1"/>
        <v>-20505.443610927221</v>
      </c>
      <c r="W59" s="3">
        <f t="shared" si="2"/>
        <v>-35435.071094663515</v>
      </c>
      <c r="X59" s="3">
        <f t="shared" si="3"/>
        <v>2644.3663262634423</v>
      </c>
      <c r="Y59" s="3">
        <f t="shared" si="4"/>
        <v>654452.21770156641</v>
      </c>
      <c r="Z59" s="3">
        <f t="shared" si="5"/>
        <v>29326.514831011875</v>
      </c>
      <c r="AA59" s="3">
        <f t="shared" si="14"/>
        <v>655108.96019412833</v>
      </c>
      <c r="AB59" s="3">
        <f t="shared" si="6"/>
        <v>614452.21770156641</v>
      </c>
      <c r="AC59" s="3">
        <f t="shared" si="7"/>
        <v>31826.514831011875</v>
      </c>
      <c r="AD59" s="3">
        <f t="shared" si="8"/>
        <v>615275.91768625379</v>
      </c>
      <c r="AE59" s="3">
        <f t="shared" si="9"/>
        <v>629452.21770156641</v>
      </c>
      <c r="AF59" s="3">
        <f t="shared" si="15"/>
        <v>6826.5148310118748</v>
      </c>
      <c r="AG59" s="3">
        <f t="shared" si="10"/>
        <v>629489.23396207357</v>
      </c>
      <c r="AH59" s="3">
        <f t="shared" si="11"/>
        <v>3.0136140794553277</v>
      </c>
      <c r="AI59" s="3">
        <f t="shared" si="12"/>
        <v>9.3477916901867381E-2</v>
      </c>
    </row>
    <row r="60" spans="19:35" x14ac:dyDescent="0.3">
      <c r="S60" s="6">
        <v>43</v>
      </c>
      <c r="T60" s="4">
        <f t="shared" si="0"/>
        <v>21.5</v>
      </c>
      <c r="U60" s="3">
        <f t="shared" si="13"/>
        <v>-669919.21465328441</v>
      </c>
      <c r="V60" s="3">
        <f t="shared" si="1"/>
        <v>-19183.237078316273</v>
      </c>
      <c r="W60" s="3">
        <f t="shared" si="2"/>
        <v>-35370.278391955224</v>
      </c>
      <c r="X60" s="3">
        <f t="shared" si="3"/>
        <v>2646.3761014768324</v>
      </c>
      <c r="Y60" s="3">
        <f t="shared" si="4"/>
        <v>672202.43250947248</v>
      </c>
      <c r="Z60" s="3">
        <f t="shared" si="5"/>
        <v>28005.443610927221</v>
      </c>
      <c r="AA60" s="3">
        <f t="shared" si="14"/>
        <v>672785.56401241012</v>
      </c>
      <c r="AB60" s="3">
        <f t="shared" si="6"/>
        <v>632202.43250947248</v>
      </c>
      <c r="AC60" s="3">
        <f t="shared" si="7"/>
        <v>30505.443610927221</v>
      </c>
      <c r="AD60" s="3">
        <f t="shared" si="8"/>
        <v>632937.9888747345</v>
      </c>
      <c r="AE60" s="3">
        <f t="shared" si="9"/>
        <v>647202.43250947248</v>
      </c>
      <c r="AF60" s="3">
        <f t="shared" si="15"/>
        <v>5505.443610927221</v>
      </c>
      <c r="AG60" s="3">
        <f t="shared" si="10"/>
        <v>647225.84818248055</v>
      </c>
      <c r="AH60" s="3">
        <f t="shared" si="11"/>
        <v>2.8532036774488989</v>
      </c>
      <c r="AI60" s="3">
        <f t="shared" si="12"/>
        <v>8.0384522885928567E-2</v>
      </c>
    </row>
    <row r="61" spans="19:35" x14ac:dyDescent="0.3">
      <c r="S61" s="6">
        <v>44</v>
      </c>
      <c r="T61" s="4">
        <f t="shared" si="0"/>
        <v>22</v>
      </c>
      <c r="U61" s="3">
        <f t="shared" si="13"/>
        <v>-687603.64054834261</v>
      </c>
      <c r="V61" s="3">
        <f t="shared" si="1"/>
        <v>-17860.028931447137</v>
      </c>
      <c r="W61" s="3">
        <f t="shared" si="2"/>
        <v>-35307.507911051347</v>
      </c>
      <c r="X61" s="3">
        <f t="shared" si="3"/>
        <v>2648.1445609803227</v>
      </c>
      <c r="Y61" s="3">
        <f t="shared" si="4"/>
        <v>689919.21465328441</v>
      </c>
      <c r="Z61" s="3">
        <f t="shared" si="5"/>
        <v>26683.237078316273</v>
      </c>
      <c r="AA61" s="3">
        <f t="shared" si="14"/>
        <v>690435.02075777005</v>
      </c>
      <c r="AB61" s="3">
        <f t="shared" si="6"/>
        <v>649919.21465328441</v>
      </c>
      <c r="AC61" s="3">
        <f t="shared" si="7"/>
        <v>29183.237078316273</v>
      </c>
      <c r="AD61" s="3">
        <f t="shared" si="8"/>
        <v>650574.09024792188</v>
      </c>
      <c r="AE61" s="3">
        <f t="shared" si="9"/>
        <v>664919.21465328441</v>
      </c>
      <c r="AF61" s="3">
        <f t="shared" si="15"/>
        <v>4183.2370783162733</v>
      </c>
      <c r="AG61" s="3">
        <f t="shared" si="10"/>
        <v>664932.37361974933</v>
      </c>
      <c r="AH61" s="3">
        <f t="shared" si="11"/>
        <v>2.7054809826394388</v>
      </c>
      <c r="AI61" s="3">
        <f t="shared" si="12"/>
        <v>6.8928964334783072E-2</v>
      </c>
    </row>
    <row r="62" spans="19:35" x14ac:dyDescent="0.3">
      <c r="S62" s="6">
        <v>45</v>
      </c>
      <c r="T62" s="4">
        <f t="shared" si="0"/>
        <v>22.5</v>
      </c>
      <c r="U62" s="3">
        <f t="shared" si="13"/>
        <v>-705256.71813362266</v>
      </c>
      <c r="V62" s="3">
        <f t="shared" si="1"/>
        <v>-16535.939418715894</v>
      </c>
      <c r="W62" s="3">
        <f t="shared" si="2"/>
        <v>-35246.634588941961</v>
      </c>
      <c r="X62" s="3">
        <f t="shared" si="3"/>
        <v>2649.6954626778552</v>
      </c>
      <c r="Y62" s="3">
        <f t="shared" si="4"/>
        <v>707603.64054834261</v>
      </c>
      <c r="Z62" s="3">
        <f t="shared" si="5"/>
        <v>25360.028931447137</v>
      </c>
      <c r="AA62" s="3">
        <f t="shared" si="14"/>
        <v>708057.93773156148</v>
      </c>
      <c r="AB62" s="3">
        <f t="shared" si="6"/>
        <v>667603.64054834261</v>
      </c>
      <c r="AC62" s="3">
        <f t="shared" si="7"/>
        <v>27860.028931447137</v>
      </c>
      <c r="AD62" s="3">
        <f t="shared" si="8"/>
        <v>668184.70656358311</v>
      </c>
      <c r="AE62" s="3">
        <f t="shared" si="9"/>
        <v>682603.64054834261</v>
      </c>
      <c r="AF62" s="3">
        <f t="shared" si="15"/>
        <v>2860.0289314471374</v>
      </c>
      <c r="AG62" s="3">
        <f t="shared" si="10"/>
        <v>682609.63211438758</v>
      </c>
      <c r="AH62" s="3">
        <f t="shared" si="11"/>
        <v>2.5691333829157754</v>
      </c>
      <c r="AI62" s="3">
        <f t="shared" si="12"/>
        <v>5.8882355271225741E-2</v>
      </c>
    </row>
    <row r="63" spans="19:35" x14ac:dyDescent="0.3">
      <c r="S63" s="6">
        <v>46</v>
      </c>
      <c r="T63" s="4">
        <f t="shared" si="0"/>
        <v>23</v>
      </c>
      <c r="U63" s="3">
        <f t="shared" si="13"/>
        <v>-722879.39314474794</v>
      </c>
      <c r="V63" s="3">
        <f t="shared" si="1"/>
        <v>-15211.07696678815</v>
      </c>
      <c r="W63" s="3">
        <f t="shared" si="2"/>
        <v>-35187.5445211349</v>
      </c>
      <c r="X63" s="3">
        <f t="shared" si="3"/>
        <v>2651.0497568490932</v>
      </c>
      <c r="Y63" s="3">
        <f t="shared" si="4"/>
        <v>725256.71813362266</v>
      </c>
      <c r="Z63" s="3">
        <f t="shared" si="5"/>
        <v>24035.939418715894</v>
      </c>
      <c r="AA63" s="3">
        <f t="shared" si="14"/>
        <v>725654.89978480351</v>
      </c>
      <c r="AB63" s="3">
        <f t="shared" si="6"/>
        <v>685256.71813362266</v>
      </c>
      <c r="AC63" s="3">
        <f t="shared" si="7"/>
        <v>26535.939418715894</v>
      </c>
      <c r="AD63" s="3">
        <f t="shared" si="8"/>
        <v>685770.31565101806</v>
      </c>
      <c r="AE63" s="3">
        <f t="shared" si="9"/>
        <v>700256.71813362266</v>
      </c>
      <c r="AF63" s="3">
        <f t="shared" si="15"/>
        <v>1535.9394187158941</v>
      </c>
      <c r="AG63" s="3">
        <f t="shared" si="10"/>
        <v>700258.40259233571</v>
      </c>
      <c r="AH63" s="3">
        <f t="shared" si="11"/>
        <v>2.4430142581126502</v>
      </c>
      <c r="AI63" s="3">
        <f t="shared" si="12"/>
        <v>5.0052007115074196E-2</v>
      </c>
    </row>
    <row r="64" spans="19:35" x14ac:dyDescent="0.3">
      <c r="S64" s="6">
        <v>47</v>
      </c>
      <c r="T64" s="4">
        <f t="shared" si="0"/>
        <v>23.5</v>
      </c>
      <c r="U64" s="3">
        <f t="shared" si="13"/>
        <v>-740472.55465175083</v>
      </c>
      <c r="V64" s="3">
        <f t="shared" si="1"/>
        <v>-13885.539575361825</v>
      </c>
      <c r="W64" s="3">
        <f t="shared" si="2"/>
        <v>-35130.133686069254</v>
      </c>
      <c r="X64" s="3">
        <f t="shared" si="3"/>
        <v>2652.2259790162975</v>
      </c>
      <c r="Y64" s="3">
        <f t="shared" si="4"/>
        <v>742879.39314474794</v>
      </c>
      <c r="Z64" s="3">
        <f t="shared" si="5"/>
        <v>22711.07696678815</v>
      </c>
      <c r="AA64" s="3">
        <f t="shared" si="14"/>
        <v>743226.47004536935</v>
      </c>
      <c r="AB64" s="3">
        <f t="shared" si="6"/>
        <v>702879.39314474794</v>
      </c>
      <c r="AC64" s="3">
        <f t="shared" si="7"/>
        <v>25211.07696678815</v>
      </c>
      <c r="AD64" s="3">
        <f t="shared" si="8"/>
        <v>703331.38683650002</v>
      </c>
      <c r="AE64" s="3">
        <f t="shared" si="9"/>
        <v>717879.39314474794</v>
      </c>
      <c r="AF64" s="3">
        <f t="shared" si="15"/>
        <v>211.07696678815046</v>
      </c>
      <c r="AG64" s="3">
        <f t="shared" si="10"/>
        <v>717879.4241760642</v>
      </c>
      <c r="AH64" s="3">
        <f t="shared" si="11"/>
        <v>2.3261183762331452</v>
      </c>
      <c r="AI64" s="3">
        <f t="shared" si="12"/>
        <v>4.2275017480121115E-2</v>
      </c>
    </row>
    <row r="65" spans="19:35" x14ac:dyDescent="0.3">
      <c r="S65" s="6">
        <v>48</v>
      </c>
      <c r="T65" s="4">
        <f t="shared" si="0"/>
        <v>24</v>
      </c>
      <c r="U65" s="3">
        <f t="shared" si="13"/>
        <v>-758037.03996519139</v>
      </c>
      <c r="V65" s="3">
        <f t="shared" si="1"/>
        <v>-12559.416017099307</v>
      </c>
      <c r="W65" s="3">
        <f t="shared" si="2"/>
        <v>-35074.30684503966</v>
      </c>
      <c r="X65" s="3">
        <f t="shared" si="3"/>
        <v>2653.2405794358206</v>
      </c>
      <c r="Y65" s="3">
        <f t="shared" si="4"/>
        <v>760472.55465175083</v>
      </c>
      <c r="Z65" s="3">
        <f t="shared" si="5"/>
        <v>21385.539575361825</v>
      </c>
      <c r="AA65" s="3">
        <f t="shared" si="14"/>
        <v>760773.19069581409</v>
      </c>
      <c r="AB65" s="3">
        <f t="shared" si="6"/>
        <v>720472.55465175083</v>
      </c>
      <c r="AC65" s="3">
        <f t="shared" si="7"/>
        <v>23885.539575361825</v>
      </c>
      <c r="AD65" s="3">
        <f t="shared" si="8"/>
        <v>720868.3798081493</v>
      </c>
      <c r="AE65" s="3">
        <f t="shared" si="9"/>
        <v>735472.55465175083</v>
      </c>
      <c r="AF65" s="3">
        <f t="shared" si="15"/>
        <v>-1114.460424638175</v>
      </c>
      <c r="AG65" s="3">
        <f t="shared" si="10"/>
        <v>735473.39902134507</v>
      </c>
      <c r="AH65" s="3">
        <f t="shared" si="11"/>
        <v>2.2175614439095925</v>
      </c>
      <c r="AI65" s="3">
        <f t="shared" si="12"/>
        <v>3.5413114467180089E-2</v>
      </c>
    </row>
    <row r="66" spans="19:35" x14ac:dyDescent="0.3">
      <c r="S66" s="6">
        <v>49</v>
      </c>
      <c r="T66" s="4">
        <f t="shared" si="0"/>
        <v>24.5</v>
      </c>
      <c r="U66" s="3">
        <f t="shared" si="13"/>
        <v>-775573.63899735024</v>
      </c>
      <c r="V66" s="3">
        <f t="shared" si="1"/>
        <v>-11232.78687410278</v>
      </c>
      <c r="W66" s="3">
        <f t="shared" si="2"/>
        <v>-35019.976589663878</v>
      </c>
      <c r="X66" s="3">
        <f t="shared" si="3"/>
        <v>2654.1082007402665</v>
      </c>
      <c r="Y66" s="3">
        <f t="shared" si="4"/>
        <v>778037.03996519139</v>
      </c>
      <c r="Z66" s="3">
        <f t="shared" si="5"/>
        <v>20059.416017099305</v>
      </c>
      <c r="AA66" s="3">
        <f t="shared" si="14"/>
        <v>778295.58377826086</v>
      </c>
      <c r="AB66" s="3">
        <f t="shared" si="6"/>
        <v>738037.03996519139</v>
      </c>
      <c r="AC66" s="3">
        <f t="shared" si="7"/>
        <v>22559.416017099305</v>
      </c>
      <c r="AD66" s="3">
        <f t="shared" si="8"/>
        <v>738381.74382335192</v>
      </c>
      <c r="AE66" s="3">
        <f t="shared" si="9"/>
        <v>753037.03996519139</v>
      </c>
      <c r="AF66" s="3">
        <f t="shared" si="15"/>
        <v>-2440.5839829006927</v>
      </c>
      <c r="AG66" s="3">
        <f t="shared" si="10"/>
        <v>753040.9949064625</v>
      </c>
      <c r="AH66" s="3">
        <f t="shared" si="11"/>
        <v>2.1165630283790309</v>
      </c>
      <c r="AI66" s="3">
        <f t="shared" si="12"/>
        <v>2.9348487785452817E-2</v>
      </c>
    </row>
    <row r="67" spans="19:35" x14ac:dyDescent="0.3">
      <c r="S67" s="6">
        <v>50</v>
      </c>
      <c r="T67" s="4">
        <f t="shared" si="0"/>
        <v>25</v>
      </c>
      <c r="U67" s="3">
        <f t="shared" si="13"/>
        <v>-793083.09815142513</v>
      </c>
      <c r="V67" s="3">
        <f t="shared" si="1"/>
        <v>-9905.7254366107009</v>
      </c>
      <c r="W67" s="3">
        <f t="shared" si="2"/>
        <v>-34967.062513954399</v>
      </c>
      <c r="X67" s="3">
        <f t="shared" si="3"/>
        <v>2654.8419129349027</v>
      </c>
      <c r="Y67" s="3">
        <f t="shared" si="4"/>
        <v>795573.63899735024</v>
      </c>
      <c r="Z67" s="3">
        <f t="shared" si="5"/>
        <v>18732.786874102778</v>
      </c>
      <c r="AA67" s="3">
        <f t="shared" si="14"/>
        <v>795794.1520088953</v>
      </c>
      <c r="AB67" s="3">
        <f t="shared" si="6"/>
        <v>755573.63899735024</v>
      </c>
      <c r="AC67" s="3">
        <f t="shared" si="7"/>
        <v>21232.786874102778</v>
      </c>
      <c r="AD67" s="3">
        <f t="shared" si="8"/>
        <v>755871.91718315554</v>
      </c>
      <c r="AE67" s="3">
        <f t="shared" si="9"/>
        <v>770573.63899735024</v>
      </c>
      <c r="AF67" s="3">
        <f t="shared" si="15"/>
        <v>-3767.2131258972204</v>
      </c>
      <c r="AG67" s="3">
        <f t="shared" si="10"/>
        <v>770582.84759807272</v>
      </c>
      <c r="AH67" s="3">
        <f t="shared" si="11"/>
        <v>2.0224322302820403</v>
      </c>
      <c r="AI67" s="3">
        <f t="shared" si="12"/>
        <v>2.3980400233961439E-2</v>
      </c>
    </row>
    <row r="68" spans="19:35" x14ac:dyDescent="0.3">
      <c r="S68" s="6">
        <v>51</v>
      </c>
      <c r="T68" s="4">
        <f t="shared" si="0"/>
        <v>25.5</v>
      </c>
      <c r="U68" s="3">
        <f t="shared" si="13"/>
        <v>-810566.12380034477</v>
      </c>
      <c r="V68" s="3">
        <f t="shared" si="1"/>
        <v>-8578.2984850431912</v>
      </c>
      <c r="W68" s="3">
        <f t="shared" si="2"/>
        <v>-34915.490492082208</v>
      </c>
      <c r="X68" s="3">
        <f t="shared" si="3"/>
        <v>2655.4534131408686</v>
      </c>
      <c r="Y68" s="3">
        <f t="shared" si="4"/>
        <v>813083.09815142513</v>
      </c>
      <c r="Z68" s="3">
        <f t="shared" si="5"/>
        <v>17405.725436610701</v>
      </c>
      <c r="AA68" s="3">
        <f t="shared" si="14"/>
        <v>813269.37958925683</v>
      </c>
      <c r="AB68" s="3">
        <f t="shared" si="6"/>
        <v>773083.09815142513</v>
      </c>
      <c r="AC68" s="3">
        <f t="shared" si="7"/>
        <v>19905.725436610701</v>
      </c>
      <c r="AD68" s="3">
        <f t="shared" si="8"/>
        <v>773339.32691449474</v>
      </c>
      <c r="AE68" s="3">
        <f t="shared" si="9"/>
        <v>788083.09815142513</v>
      </c>
      <c r="AF68" s="3">
        <f t="shared" si="15"/>
        <v>-5094.2745633892991</v>
      </c>
      <c r="AG68" s="3">
        <f t="shared" si="10"/>
        <v>788099.56301553419</v>
      </c>
      <c r="AH68" s="3">
        <f t="shared" si="11"/>
        <v>1.9345556122177947</v>
      </c>
      <c r="AI68" s="3">
        <f t="shared" si="12"/>
        <v>1.9222419826865917E-2</v>
      </c>
    </row>
    <row r="69" spans="19:35" x14ac:dyDescent="0.3">
      <c r="S69" s="6">
        <v>52</v>
      </c>
      <c r="T69" s="4">
        <f t="shared" si="0"/>
        <v>26</v>
      </c>
      <c r="U69" s="3">
        <f t="shared" si="13"/>
        <v>-828023.38540748286</v>
      </c>
      <c r="V69" s="3">
        <f t="shared" si="1"/>
        <v>-7250.5669728678004</v>
      </c>
      <c r="W69" s="3">
        <f t="shared" si="2"/>
        <v>-34865.192046164542</v>
      </c>
      <c r="X69" s="3">
        <f t="shared" si="3"/>
        <v>2655.9531960563672</v>
      </c>
      <c r="Y69" s="3">
        <f t="shared" si="4"/>
        <v>830566.12380034477</v>
      </c>
      <c r="Z69" s="3">
        <f t="shared" si="5"/>
        <v>16078.298485043191</v>
      </c>
      <c r="AA69" s="3">
        <f t="shared" si="14"/>
        <v>830721.73300504417</v>
      </c>
      <c r="AB69" s="3">
        <f t="shared" si="6"/>
        <v>790566.12380034477</v>
      </c>
      <c r="AC69" s="3">
        <f t="shared" si="7"/>
        <v>18578.298485043189</v>
      </c>
      <c r="AD69" s="3">
        <f t="shared" si="8"/>
        <v>790784.38861379994</v>
      </c>
      <c r="AE69" s="3">
        <f t="shared" si="9"/>
        <v>805566.12380034477</v>
      </c>
      <c r="AF69" s="3">
        <f t="shared" si="15"/>
        <v>-6421.7015149568088</v>
      </c>
      <c r="AG69" s="3">
        <f t="shared" si="10"/>
        <v>805591.71921331191</v>
      </c>
      <c r="AH69" s="3">
        <f t="shared" si="11"/>
        <v>1.8523869859970366</v>
      </c>
      <c r="AI69" s="3">
        <f t="shared" si="12"/>
        <v>1.5000148237360112E-2</v>
      </c>
    </row>
    <row r="70" spans="19:35" x14ac:dyDescent="0.3">
      <c r="S70" s="6">
        <v>53</v>
      </c>
      <c r="T70" s="4">
        <f t="shared" si="0"/>
        <v>26.5</v>
      </c>
      <c r="U70" s="3">
        <f t="shared" si="13"/>
        <v>-845455.51833381865</v>
      </c>
      <c r="V70" s="3">
        <f t="shared" si="1"/>
        <v>-5922.5866248025577</v>
      </c>
      <c r="W70" s="3">
        <f t="shared" si="2"/>
        <v>-34816.103791035617</v>
      </c>
      <c r="X70" s="3">
        <f t="shared" si="3"/>
        <v>2656.3506999846572</v>
      </c>
      <c r="Y70" s="3">
        <f t="shared" si="4"/>
        <v>848023.38540748286</v>
      </c>
      <c r="Z70" s="3">
        <f t="shared" si="5"/>
        <v>14750.5669728678</v>
      </c>
      <c r="AA70" s="3">
        <f t="shared" si="14"/>
        <v>848151.66180582903</v>
      </c>
      <c r="AB70" s="3">
        <f t="shared" si="6"/>
        <v>808023.38540748286</v>
      </c>
      <c r="AC70" s="3">
        <f t="shared" si="7"/>
        <v>17250.5669728678</v>
      </c>
      <c r="AD70" s="3">
        <f t="shared" si="8"/>
        <v>808207.50641543476</v>
      </c>
      <c r="AE70" s="3">
        <f t="shared" si="9"/>
        <v>823023.38540748286</v>
      </c>
      <c r="AF70" s="3">
        <f t="shared" si="15"/>
        <v>-7749.4330271321996</v>
      </c>
      <c r="AG70" s="3">
        <f t="shared" si="10"/>
        <v>823059.86819904915</v>
      </c>
      <c r="AH70" s="3">
        <f t="shared" si="11"/>
        <v>1.7754387384584331</v>
      </c>
      <c r="AI70" s="3">
        <f t="shared" si="12"/>
        <v>1.1249348206370982E-2</v>
      </c>
    </row>
    <row r="71" spans="19:35" x14ac:dyDescent="0.3">
      <c r="S71" s="6">
        <v>54</v>
      </c>
      <c r="T71" s="4">
        <f t="shared" si="0"/>
        <v>27</v>
      </c>
      <c r="U71" s="3">
        <f t="shared" si="13"/>
        <v>-862863.12636965187</v>
      </c>
      <c r="V71" s="3">
        <f t="shared" si="1"/>
        <v>-4594.4084624731777</v>
      </c>
      <c r="W71" s="3">
        <f t="shared" si="2"/>
        <v>-34768.16694509724</v>
      </c>
      <c r="X71" s="3">
        <f t="shared" si="3"/>
        <v>2656.6544323862295</v>
      </c>
      <c r="Y71" s="3">
        <f t="shared" si="4"/>
        <v>865455.51833381865</v>
      </c>
      <c r="Z71" s="3">
        <f t="shared" si="5"/>
        <v>13422.586624802558</v>
      </c>
      <c r="AA71" s="3">
        <f t="shared" si="14"/>
        <v>865559.5993611064</v>
      </c>
      <c r="AB71" s="3">
        <f t="shared" si="6"/>
        <v>825455.51833381865</v>
      </c>
      <c r="AC71" s="3">
        <f t="shared" si="7"/>
        <v>15922.586624802558</v>
      </c>
      <c r="AD71" s="3">
        <f t="shared" si="8"/>
        <v>825609.07305611507</v>
      </c>
      <c r="AE71" s="3">
        <f t="shared" si="9"/>
        <v>840455.51833381865</v>
      </c>
      <c r="AF71" s="3">
        <f t="shared" si="15"/>
        <v>-9077.4133751974423</v>
      </c>
      <c r="AG71" s="3">
        <f t="shared" si="10"/>
        <v>840504.53760307096</v>
      </c>
      <c r="AH71" s="3">
        <f t="shared" si="11"/>
        <v>1.7032744364336838</v>
      </c>
      <c r="AI71" s="3">
        <f t="shared" si="12"/>
        <v>7.9143932495919882E-3</v>
      </c>
    </row>
    <row r="72" spans="19:35" x14ac:dyDescent="0.3">
      <c r="S72" s="6">
        <v>55</v>
      </c>
      <c r="T72" s="4">
        <f t="shared" si="0"/>
        <v>27.5</v>
      </c>
      <c r="U72" s="3">
        <f t="shared" si="13"/>
        <v>-880246.78402359143</v>
      </c>
      <c r="V72" s="3">
        <f t="shared" si="1"/>
        <v>-3266.0792676817509</v>
      </c>
      <c r="W72" s="3">
        <f t="shared" si="2"/>
        <v>-34721.326898095314</v>
      </c>
      <c r="X72" s="3">
        <f t="shared" si="3"/>
        <v>2656.8720782005935</v>
      </c>
      <c r="Y72" s="3">
        <f t="shared" si="4"/>
        <v>882863.12636965187</v>
      </c>
      <c r="Z72" s="3">
        <f t="shared" si="5"/>
        <v>12094.408462473177</v>
      </c>
      <c r="AA72" s="3">
        <f t="shared" si="14"/>
        <v>882945.9635896486</v>
      </c>
      <c r="AB72" s="3">
        <f t="shared" si="6"/>
        <v>842863.12636965187</v>
      </c>
      <c r="AC72" s="3">
        <f t="shared" si="7"/>
        <v>14594.408462473177</v>
      </c>
      <c r="AD72" s="3">
        <f t="shared" si="8"/>
        <v>842989.4700125223</v>
      </c>
      <c r="AE72" s="3">
        <f t="shared" si="9"/>
        <v>857863.12636965187</v>
      </c>
      <c r="AF72" s="3">
        <f t="shared" si="15"/>
        <v>-10405.591537526823</v>
      </c>
      <c r="AG72" s="3">
        <f t="shared" si="10"/>
        <v>857926.23221344571</v>
      </c>
      <c r="AH72" s="3">
        <f t="shared" si="11"/>
        <v>1.6355024996383192</v>
      </c>
      <c r="AI72" s="3">
        <f t="shared" si="12"/>
        <v>4.9469789608489884E-3</v>
      </c>
    </row>
    <row r="73" spans="19:35" x14ac:dyDescent="0.3">
      <c r="S73" s="6">
        <v>56</v>
      </c>
      <c r="T73" s="4">
        <f t="shared" si="0"/>
        <v>28</v>
      </c>
      <c r="U73" s="3">
        <f t="shared" si="13"/>
        <v>-897607.03859701427</v>
      </c>
      <c r="V73" s="3">
        <f t="shared" si="1"/>
        <v>-1937.6419918367139</v>
      </c>
      <c r="W73" s="3">
        <f t="shared" si="2"/>
        <v>-34675.532828105439</v>
      </c>
      <c r="X73" s="3">
        <f t="shared" si="3"/>
        <v>2657.0105936114974</v>
      </c>
      <c r="Y73" s="3">
        <f t="shared" si="4"/>
        <v>900246.78402359143</v>
      </c>
      <c r="Z73" s="3">
        <f t="shared" si="5"/>
        <v>10766.079267681751</v>
      </c>
      <c r="AA73" s="3">
        <f t="shared" si="14"/>
        <v>900311.15766029293</v>
      </c>
      <c r="AB73" s="3">
        <f t="shared" si="6"/>
        <v>860246.78402359143</v>
      </c>
      <c r="AC73" s="3">
        <f t="shared" si="7"/>
        <v>13266.079267681751</v>
      </c>
      <c r="AD73" s="3">
        <f t="shared" si="8"/>
        <v>860349.06769407727</v>
      </c>
      <c r="AE73" s="3">
        <f t="shared" si="9"/>
        <v>875246.78402359143</v>
      </c>
      <c r="AF73" s="3">
        <f t="shared" si="15"/>
        <v>-11733.920732318249</v>
      </c>
      <c r="AG73" s="3">
        <f t="shared" si="10"/>
        <v>875325.43538925657</v>
      </c>
      <c r="AH73" s="3">
        <f t="shared" si="11"/>
        <v>1.5717707687128295</v>
      </c>
      <c r="AI73" s="3">
        <f t="shared" si="12"/>
        <v>2.3050476016299136E-3</v>
      </c>
    </row>
    <row r="74" spans="19:35" x14ac:dyDescent="0.3">
      <c r="S74" s="6">
        <v>57</v>
      </c>
      <c r="T74" s="4">
        <f t="shared" si="0"/>
        <v>28.5</v>
      </c>
      <c r="U74" s="3">
        <f t="shared" si="13"/>
        <v>-914944.4120683748</v>
      </c>
      <c r="V74" s="3">
        <f t="shared" si="1"/>
        <v>-609.13611876906486</v>
      </c>
      <c r="W74" s="3">
        <f t="shared" si="2"/>
        <v>-34630.73736119712</v>
      </c>
      <c r="X74" s="3">
        <f t="shared" si="3"/>
        <v>2657.0762874681436</v>
      </c>
      <c r="Y74" s="3">
        <f t="shared" si="4"/>
        <v>917607.03859701427</v>
      </c>
      <c r="Z74" s="3">
        <f t="shared" si="5"/>
        <v>9437.6419918367137</v>
      </c>
      <c r="AA74" s="3">
        <f t="shared" si="14"/>
        <v>917655.57066317019</v>
      </c>
      <c r="AB74" s="3">
        <f t="shared" si="6"/>
        <v>877607.03859701427</v>
      </c>
      <c r="AC74" s="3">
        <f t="shared" si="7"/>
        <v>11937.641991836714</v>
      </c>
      <c r="AD74" s="3">
        <f t="shared" si="8"/>
        <v>877688.22567660466</v>
      </c>
      <c r="AE74" s="3">
        <f t="shared" si="9"/>
        <v>892607.03859701427</v>
      </c>
      <c r="AF74" s="3">
        <f t="shared" si="15"/>
        <v>-13062.358008163286</v>
      </c>
      <c r="AG74" s="3">
        <f t="shared" si="10"/>
        <v>892702.61036342056</v>
      </c>
      <c r="AH74" s="3">
        <f t="shared" si="11"/>
        <v>1.5117618264659987</v>
      </c>
      <c r="AI74" s="3">
        <f t="shared" si="12"/>
        <v>-4.8112661018288178E-5</v>
      </c>
    </row>
    <row r="75" spans="19:35" x14ac:dyDescent="0.3">
      <c r="S75" s="6">
        <v>58</v>
      </c>
      <c r="T75" s="4">
        <f t="shared" si="0"/>
        <v>29</v>
      </c>
      <c r="U75" s="3">
        <f t="shared" si="13"/>
        <v>-932259.40280851675</v>
      </c>
      <c r="V75" s="3">
        <f t="shared" si="1"/>
        <v>719.40201293684174</v>
      </c>
      <c r="W75" s="3">
        <f t="shared" si="2"/>
        <v>-34586.896268229604</v>
      </c>
      <c r="X75" s="3">
        <f t="shared" si="3"/>
        <v>2657.0748922009739</v>
      </c>
      <c r="Y75" s="3">
        <f t="shared" si="4"/>
        <v>934944.4120683748</v>
      </c>
      <c r="Z75" s="3">
        <f t="shared" si="5"/>
        <v>8109.1361187690645</v>
      </c>
      <c r="AA75" s="3">
        <f t="shared" si="14"/>
        <v>934979.5782510289</v>
      </c>
      <c r="AB75" s="3">
        <f t="shared" si="6"/>
        <v>894944.4120683748</v>
      </c>
      <c r="AC75" s="3">
        <f t="shared" si="7"/>
        <v>10609.136118769065</v>
      </c>
      <c r="AD75" s="3">
        <f t="shared" si="8"/>
        <v>895007.29296559119</v>
      </c>
      <c r="AE75" s="3">
        <f t="shared" si="9"/>
        <v>909944.4120683748</v>
      </c>
      <c r="AF75" s="3">
        <f t="shared" si="15"/>
        <v>-14390.863881230935</v>
      </c>
      <c r="AG75" s="3">
        <f t="shared" si="10"/>
        <v>910058.20144521992</v>
      </c>
      <c r="AH75" s="3">
        <f t="shared" si="11"/>
        <v>1.4551889552076587</v>
      </c>
      <c r="AI75" s="3">
        <f t="shared" si="12"/>
        <v>-2.1446249160374225E-3</v>
      </c>
    </row>
    <row r="76" spans="19:35" x14ac:dyDescent="0.3">
      <c r="S76" s="6">
        <v>59</v>
      </c>
      <c r="T76" s="4">
        <f t="shared" si="0"/>
        <v>29.5</v>
      </c>
      <c r="U76" s="3">
        <f t="shared" si="13"/>
        <v>-949552.48714539281</v>
      </c>
      <c r="V76" s="3">
        <f t="shared" si="1"/>
        <v>2047.9389228810996</v>
      </c>
      <c r="W76" s="3">
        <f t="shared" si="2"/>
        <v>-34543.968194050976</v>
      </c>
      <c r="X76" s="3">
        <f t="shared" si="3"/>
        <v>2657.0116257659506</v>
      </c>
      <c r="Y76" s="3">
        <f t="shared" si="4"/>
        <v>952259.40280851675</v>
      </c>
      <c r="Z76" s="3">
        <f t="shared" si="5"/>
        <v>6780.5979870631581</v>
      </c>
      <c r="AA76" s="3">
        <f t="shared" si="14"/>
        <v>952283.54325079825</v>
      </c>
      <c r="AB76" s="3">
        <f t="shared" si="6"/>
        <v>912259.40280851675</v>
      </c>
      <c r="AC76" s="3">
        <f t="shared" si="7"/>
        <v>9280.5979870631581</v>
      </c>
      <c r="AD76" s="3">
        <f t="shared" si="8"/>
        <v>912306.60828010505</v>
      </c>
      <c r="AE76" s="3">
        <f t="shared" si="9"/>
        <v>927259.40280851675</v>
      </c>
      <c r="AF76" s="3">
        <f t="shared" si="15"/>
        <v>-15719.402012936842</v>
      </c>
      <c r="AG76" s="3">
        <f t="shared" si="10"/>
        <v>927392.63513166388</v>
      </c>
      <c r="AH76" s="3">
        <f t="shared" si="11"/>
        <v>1.4017926331577466</v>
      </c>
      <c r="AI76" s="3">
        <f t="shared" si="12"/>
        <v>-4.0126621308570667E-3</v>
      </c>
    </row>
    <row r="77" spans="19:35" x14ac:dyDescent="0.3">
      <c r="S77" s="6">
        <v>60</v>
      </c>
      <c r="T77" s="4">
        <f t="shared" si="0"/>
        <v>30</v>
      </c>
      <c r="U77" s="3">
        <f t="shared" si="13"/>
        <v>-966824.12079425994</v>
      </c>
      <c r="V77" s="3">
        <f t="shared" si="1"/>
        <v>3376.4437325985418</v>
      </c>
      <c r="W77" s="3">
        <f t="shared" si="2"/>
        <v>-34501.914415056242</v>
      </c>
      <c r="X77" s="3">
        <f t="shared" si="3"/>
        <v>2656.8912459020248</v>
      </c>
      <c r="Y77" s="3">
        <f t="shared" si="4"/>
        <v>969552.48714539281</v>
      </c>
      <c r="Z77" s="3">
        <f t="shared" si="5"/>
        <v>5452.0610771189004</v>
      </c>
      <c r="AA77" s="3">
        <f t="shared" si="14"/>
        <v>969567.81624588068</v>
      </c>
      <c r="AB77" s="3">
        <f t="shared" si="6"/>
        <v>929552.48714539281</v>
      </c>
      <c r="AC77" s="3">
        <f t="shared" si="7"/>
        <v>7952.0610771189004</v>
      </c>
      <c r="AD77" s="3">
        <f t="shared" si="8"/>
        <v>929586.50035032234</v>
      </c>
      <c r="AE77" s="3">
        <f t="shared" si="9"/>
        <v>944552.48714539281</v>
      </c>
      <c r="AF77" s="3">
        <f t="shared" si="15"/>
        <v>-17047.938922881098</v>
      </c>
      <c r="AG77" s="3">
        <f t="shared" si="10"/>
        <v>944706.32113586797</v>
      </c>
      <c r="AH77" s="3">
        <f t="shared" si="11"/>
        <v>1.3513374892571988</v>
      </c>
      <c r="AI77" s="3">
        <f t="shared" si="12"/>
        <v>-5.6769875518101675E-3</v>
      </c>
    </row>
    <row r="78" spans="19:35" x14ac:dyDescent="0.3">
      <c r="S78" s="6">
        <v>61</v>
      </c>
      <c r="T78" s="4">
        <f t="shared" si="0"/>
        <v>30.5</v>
      </c>
      <c r="U78" s="3">
        <f t="shared" si="13"/>
        <v>-984074.74016741582</v>
      </c>
      <c r="V78" s="3">
        <f t="shared" si="1"/>
        <v>4704.8879363026663</v>
      </c>
      <c r="W78" s="3">
        <f t="shared" si="2"/>
        <v>-34460.698621633899</v>
      </c>
      <c r="X78" s="3">
        <f t="shared" si="3"/>
        <v>2656.7180977816947</v>
      </c>
      <c r="Y78" s="3">
        <f t="shared" si="4"/>
        <v>986824.12079425994</v>
      </c>
      <c r="Z78" s="3">
        <f t="shared" si="5"/>
        <v>4123.5562674014582</v>
      </c>
      <c r="AA78" s="3">
        <f t="shared" si="14"/>
        <v>986832.73612991499</v>
      </c>
      <c r="AB78" s="3">
        <f t="shared" si="6"/>
        <v>946824.12079425994</v>
      </c>
      <c r="AC78" s="3">
        <f t="shared" si="7"/>
        <v>6623.5562674014582</v>
      </c>
      <c r="AD78" s="3">
        <f t="shared" si="8"/>
        <v>946847.28822310665</v>
      </c>
      <c r="AE78" s="3">
        <f t="shared" si="9"/>
        <v>961824.12079425994</v>
      </c>
      <c r="AF78" s="3">
        <f t="shared" si="15"/>
        <v>-18376.443732598542</v>
      </c>
      <c r="AG78" s="3">
        <f t="shared" si="10"/>
        <v>961999.65333980683</v>
      </c>
      <c r="AH78" s="3">
        <f t="shared" si="11"/>
        <v>1.3036096490434743</v>
      </c>
      <c r="AI78" s="3">
        <f t="shared" si="12"/>
        <v>-7.1594134214559308E-3</v>
      </c>
    </row>
    <row r="79" spans="19:35" x14ac:dyDescent="0.3">
      <c r="S79" s="6">
        <v>62</v>
      </c>
      <c r="T79" s="4">
        <f t="shared" si="0"/>
        <v>31</v>
      </c>
      <c r="U79" s="3">
        <f t="shared" si="13"/>
        <v>-1001304.7635758205</v>
      </c>
      <c r="V79" s="3">
        <f t="shared" si="1"/>
        <v>6033.2451953401587</v>
      </c>
      <c r="W79" s="3">
        <f t="shared" si="2"/>
        <v>-34420.286722513549</v>
      </c>
      <c r="X79" s="3">
        <f t="shared" si="3"/>
        <v>2656.4961559656294</v>
      </c>
      <c r="Y79" s="3">
        <f t="shared" si="4"/>
        <v>1004074.7401674158</v>
      </c>
      <c r="Z79" s="3">
        <f t="shared" si="5"/>
        <v>2795.1120636973337</v>
      </c>
      <c r="AA79" s="3">
        <f t="shared" si="14"/>
        <v>1004078.6306329361</v>
      </c>
      <c r="AB79" s="3">
        <f t="shared" si="6"/>
        <v>964074.74016741582</v>
      </c>
      <c r="AC79" s="3">
        <f t="shared" si="7"/>
        <v>5295.1120636973337</v>
      </c>
      <c r="AD79" s="3">
        <f t="shared" si="8"/>
        <v>964089.28157128557</v>
      </c>
      <c r="AE79" s="3">
        <f t="shared" si="9"/>
        <v>979074.74016741582</v>
      </c>
      <c r="AF79" s="3">
        <f t="shared" si="15"/>
        <v>-19704.887936302664</v>
      </c>
      <c r="AG79" s="3">
        <f t="shared" si="10"/>
        <v>979273.01067806163</v>
      </c>
      <c r="AH79" s="3">
        <f t="shared" si="11"/>
        <v>1.2584144151847059</v>
      </c>
      <c r="AI79" s="3">
        <f t="shared" si="12"/>
        <v>-8.4791915299626056E-3</v>
      </c>
    </row>
    <row r="80" spans="19:35" x14ac:dyDescent="0.3">
      <c r="S80" s="6">
        <v>63</v>
      </c>
      <c r="T80" s="4">
        <f t="shared" si="0"/>
        <v>31.5</v>
      </c>
      <c r="U80" s="3">
        <f t="shared" si="13"/>
        <v>-1018514.5923334735</v>
      </c>
      <c r="V80" s="3">
        <f t="shared" si="1"/>
        <v>7361.4911535250912</v>
      </c>
      <c r="W80" s="3">
        <f t="shared" si="2"/>
        <v>-34380.646668435227</v>
      </c>
      <c r="X80" s="3">
        <f t="shared" si="3"/>
        <v>2656.2290614324356</v>
      </c>
      <c r="Y80" s="3">
        <f t="shared" si="4"/>
        <v>1021304.7635758205</v>
      </c>
      <c r="Z80" s="3">
        <f t="shared" si="5"/>
        <v>1466.7548046598413</v>
      </c>
      <c r="AA80" s="3">
        <f t="shared" si="14"/>
        <v>1021305.8168209557</v>
      </c>
      <c r="AB80" s="3">
        <f t="shared" si="6"/>
        <v>981304.76357582049</v>
      </c>
      <c r="AC80" s="3">
        <f t="shared" si="7"/>
        <v>3966.7548046598413</v>
      </c>
      <c r="AD80" s="3">
        <f t="shared" si="8"/>
        <v>981312.78100322187</v>
      </c>
      <c r="AE80" s="3">
        <f t="shared" si="9"/>
        <v>996304.76357582049</v>
      </c>
      <c r="AF80" s="3">
        <f t="shared" si="15"/>
        <v>-21033.245195340158</v>
      </c>
      <c r="AG80" s="3">
        <f t="shared" si="10"/>
        <v>996526.75795852009</v>
      </c>
      <c r="AH80" s="3">
        <f t="shared" si="11"/>
        <v>1.2155742352611154</v>
      </c>
      <c r="AI80" s="3">
        <f t="shared" si="12"/>
        <v>-9.6533466902410884E-3</v>
      </c>
    </row>
    <row r="81" spans="19:35" x14ac:dyDescent="0.3">
      <c r="S81" s="6">
        <v>64</v>
      </c>
      <c r="T81" s="4">
        <f t="shared" si="0"/>
        <v>32</v>
      </c>
      <c r="U81" s="3">
        <f t="shared" si="13"/>
        <v>-1035704.6117741324</v>
      </c>
      <c r="V81" s="3">
        <f t="shared" si="1"/>
        <v>8689.6032709046358</v>
      </c>
      <c r="W81" s="3">
        <f t="shared" si="2"/>
        <v>-34341.748292906872</v>
      </c>
      <c r="X81" s="3">
        <f t="shared" si="3"/>
        <v>2655.9201543383479</v>
      </c>
      <c r="Y81" s="3">
        <f t="shared" si="4"/>
        <v>1038514.5923334735</v>
      </c>
      <c r="Z81" s="3">
        <f t="shared" si="5"/>
        <v>138.50884647490875</v>
      </c>
      <c r="AA81" s="3">
        <f t="shared" si="14"/>
        <v>1038514.6015700796</v>
      </c>
      <c r="AB81" s="3">
        <f t="shared" si="6"/>
        <v>998514.5923334735</v>
      </c>
      <c r="AC81" s="3">
        <f t="shared" si="7"/>
        <v>2638.5088464749088</v>
      </c>
      <c r="AD81" s="3">
        <f t="shared" si="8"/>
        <v>998518.07837004925</v>
      </c>
      <c r="AE81" s="3">
        <f t="shared" si="9"/>
        <v>1013514.5923334735</v>
      </c>
      <c r="AF81" s="3">
        <f t="shared" si="15"/>
        <v>-22361.49115352509</v>
      </c>
      <c r="AG81" s="3">
        <f t="shared" si="10"/>
        <v>1013761.2466254054</v>
      </c>
      <c r="AH81" s="3">
        <f t="shared" si="11"/>
        <v>1.1749269168101804</v>
      </c>
      <c r="AI81" s="3">
        <f t="shared" si="12"/>
        <v>-1.069696226843541E-2</v>
      </c>
    </row>
    <row r="82" spans="19:35" x14ac:dyDescent="0.3">
      <c r="S82" s="6">
        <v>65</v>
      </c>
      <c r="T82" s="4">
        <f t="shared" ref="T82:T145" si="16">T81+$C$4</f>
        <v>32.5</v>
      </c>
      <c r="U82" s="3">
        <f t="shared" ref="U82:U145" si="17">U81+(W81*$C$4)+(AH81*POWER($C$4,2))</f>
        <v>-1052875.1921888564</v>
      </c>
      <c r="V82" s="3">
        <f t="shared" ref="V82:V145" si="18">V81+(X81*$C$4)+(AI81*POWER($C$4,2))</f>
        <v>10017.560673833243</v>
      </c>
      <c r="W82" s="3">
        <f t="shared" ref="W82:W145" si="19">W81+(AH81*T82)</f>
        <v>-34303.563168110544</v>
      </c>
      <c r="X82" s="3">
        <f t="shared" ref="X82:X145" si="20">X81+(AI81*T82)</f>
        <v>2655.5725030646236</v>
      </c>
      <c r="Y82" s="3">
        <f t="shared" ref="Y82:Y145" si="21">$C$19-U81</f>
        <v>1055704.6117741324</v>
      </c>
      <c r="Z82" s="3">
        <f t="shared" ref="Z82:Z145" si="22">$C$20-V81</f>
        <v>-1189.6032709046358</v>
      </c>
      <c r="AA82" s="3">
        <f t="shared" ref="AA82:AA145" si="23">SQRT(POWER(Y82,2)+POWER(Z82,2))</f>
        <v>1055705.2820162992</v>
      </c>
      <c r="AB82" s="3">
        <f t="shared" ref="AB82:AB145" si="24">$F$19-U81</f>
        <v>1015704.6117741324</v>
      </c>
      <c r="AC82" s="3">
        <f t="shared" ref="AC82:AC145" si="25">$F$20-V81</f>
        <v>1310.3967290953642</v>
      </c>
      <c r="AD82" s="3">
        <f t="shared" ref="AD82:AD145" si="26">SQRT(POWER(AB82,2)+POWER(AC82,2))</f>
        <v>1015705.4570685483</v>
      </c>
      <c r="AE82" s="3">
        <f t="shared" ref="AE82:AE145" si="27">$I$19-U81</f>
        <v>1030704.6117741324</v>
      </c>
      <c r="AF82" s="3">
        <f t="shared" si="15"/>
        <v>-23689.603270904634</v>
      </c>
      <c r="AG82" s="3">
        <f t="shared" ref="AG82:AG145" si="28">SQRT(POWER(AE82,2)+POWER(AF82,2))</f>
        <v>1030976.8154694836</v>
      </c>
      <c r="AH82" s="3">
        <f t="shared" ref="AH82:AH145" si="29">($C$24*(Y82/POWER(POWER(AA82,2)+POWER($C$25,2),3/2)))+($F$24*(AB82/POWER(POWER(AD82,2)+POWER($F$25,2),3/2)))+($I$24*(AE82/POWER(POWER(AG82,2)+POWER($I$25,2),3/2)))</f>
        <v>1.1363240558096055</v>
      </c>
      <c r="AI82" s="3">
        <f t="shared" ref="AI82:AI145" si="30">$C$24*(Z82/POWER(POWER(AA82,2)+POWER($C$25,2),3/2))+$F$24*(AC82/POWER(POWER(AD82,2)+POWER($F$25,2),3/2))+$I$24*(AF82/POWER(POWER(AG82,2)+POWER($I$25,2),3/2))</f>
        <v>-1.1623425315618333E-2</v>
      </c>
    </row>
    <row r="83" spans="19:35" x14ac:dyDescent="0.3">
      <c r="S83" s="6">
        <v>66</v>
      </c>
      <c r="T83" s="4">
        <f t="shared" si="16"/>
        <v>33</v>
      </c>
      <c r="U83" s="3">
        <f t="shared" si="17"/>
        <v>-1070026.6896918977</v>
      </c>
      <c r="V83" s="3">
        <f t="shared" si="18"/>
        <v>11345.344019509226</v>
      </c>
      <c r="W83" s="3">
        <f t="shared" si="19"/>
        <v>-34266.064474268824</v>
      </c>
      <c r="X83" s="3">
        <f t="shared" si="20"/>
        <v>2655.1889300292082</v>
      </c>
      <c r="Y83" s="3">
        <f t="shared" si="21"/>
        <v>1072875.1921888564</v>
      </c>
      <c r="Z83" s="3">
        <f t="shared" si="22"/>
        <v>-2517.5606738332426</v>
      </c>
      <c r="AA83" s="3">
        <f t="shared" si="23"/>
        <v>1072878.1459821158</v>
      </c>
      <c r="AB83" s="3">
        <f t="shared" si="24"/>
        <v>1032875.1921888564</v>
      </c>
      <c r="AC83" s="3">
        <f t="shared" si="25"/>
        <v>-17.560673833242618</v>
      </c>
      <c r="AD83" s="3">
        <f t="shared" si="26"/>
        <v>1032875.1923381374</v>
      </c>
      <c r="AE83" s="3">
        <f t="shared" si="27"/>
        <v>1047875.1921888564</v>
      </c>
      <c r="AF83" s="3">
        <f t="shared" ref="AF83:AF146" si="31">$I$20-V82</f>
        <v>-25017.560673833243</v>
      </c>
      <c r="AG83" s="3">
        <f t="shared" si="28"/>
        <v>1048173.7912898327</v>
      </c>
      <c r="AH83" s="3">
        <f t="shared" si="29"/>
        <v>1.099629649892589</v>
      </c>
      <c r="AI83" s="3">
        <f t="shared" si="30"/>
        <v>-1.2444637557377821E-2</v>
      </c>
    </row>
    <row r="84" spans="19:35" x14ac:dyDescent="0.3">
      <c r="S84" s="6">
        <v>67</v>
      </c>
      <c r="T84" s="4">
        <f t="shared" si="16"/>
        <v>33.5</v>
      </c>
      <c r="U84" s="3">
        <f t="shared" si="17"/>
        <v>-1087159.4470216196</v>
      </c>
      <c r="V84" s="3">
        <f t="shared" si="18"/>
        <v>12672.935373364442</v>
      </c>
      <c r="W84" s="3">
        <f t="shared" si="19"/>
        <v>-34229.226880997419</v>
      </c>
      <c r="X84" s="3">
        <f t="shared" si="20"/>
        <v>2654.7720346710362</v>
      </c>
      <c r="Y84" s="3">
        <f t="shared" si="21"/>
        <v>1090026.6896918977</v>
      </c>
      <c r="Z84" s="3">
        <f t="shared" si="22"/>
        <v>-3845.3440195092262</v>
      </c>
      <c r="AA84" s="3">
        <f t="shared" si="23"/>
        <v>1090033.472381149</v>
      </c>
      <c r="AB84" s="3">
        <f t="shared" si="24"/>
        <v>1050026.6896918977</v>
      </c>
      <c r="AC84" s="3">
        <f t="shared" si="25"/>
        <v>-1345.3440195092262</v>
      </c>
      <c r="AD84" s="3">
        <f t="shared" si="26"/>
        <v>1050027.5515508419</v>
      </c>
      <c r="AE84" s="3">
        <f t="shared" si="27"/>
        <v>1065026.6896918977</v>
      </c>
      <c r="AF84" s="3">
        <f t="shared" si="31"/>
        <v>-26345.344019509226</v>
      </c>
      <c r="AG84" s="3">
        <f t="shared" si="28"/>
        <v>1065352.489511142</v>
      </c>
      <c r="AH84" s="3">
        <f t="shared" si="29"/>
        <v>1.0647188718641503</v>
      </c>
      <c r="AI84" s="3">
        <f t="shared" si="30"/>
        <v>-1.317119744607702E-2</v>
      </c>
    </row>
    <row r="85" spans="19:35" x14ac:dyDescent="0.3">
      <c r="S85" s="6">
        <v>68</v>
      </c>
      <c r="T85" s="4">
        <f t="shared" si="16"/>
        <v>34</v>
      </c>
      <c r="U85" s="3">
        <f t="shared" si="17"/>
        <v>-1104273.7942824003</v>
      </c>
      <c r="V85" s="3">
        <f t="shared" si="18"/>
        <v>14000.318097900599</v>
      </c>
      <c r="W85" s="3">
        <f t="shared" si="19"/>
        <v>-34193.026439354035</v>
      </c>
      <c r="X85" s="3">
        <f t="shared" si="20"/>
        <v>2654.3242139578697</v>
      </c>
      <c r="Y85" s="3">
        <f t="shared" si="21"/>
        <v>1107159.4470216196</v>
      </c>
      <c r="Z85" s="3">
        <f t="shared" si="22"/>
        <v>-5172.9353733644421</v>
      </c>
      <c r="AA85" s="3">
        <f t="shared" si="23"/>
        <v>1107171.5316018541</v>
      </c>
      <c r="AB85" s="3">
        <f t="shared" si="24"/>
        <v>1067159.4470216196</v>
      </c>
      <c r="AC85" s="3">
        <f t="shared" si="25"/>
        <v>-2672.9353733644421</v>
      </c>
      <c r="AD85" s="3">
        <f t="shared" si="26"/>
        <v>1067162.7944934173</v>
      </c>
      <c r="AE85" s="3">
        <f t="shared" si="27"/>
        <v>1082159.4470216196</v>
      </c>
      <c r="AF85" s="3">
        <f t="shared" si="31"/>
        <v>-27672.935373364442</v>
      </c>
      <c r="AG85" s="3">
        <f t="shared" si="28"/>
        <v>1082513.2147601321</v>
      </c>
      <c r="AH85" s="3">
        <f t="shared" si="29"/>
        <v>1.0314769826647749</v>
      </c>
      <c r="AI85" s="3">
        <f t="shared" si="30"/>
        <v>-1.3812557619191779E-2</v>
      </c>
    </row>
    <row r="86" spans="19:35" x14ac:dyDescent="0.3">
      <c r="S86" s="6">
        <v>69</v>
      </c>
      <c r="T86" s="4">
        <f t="shared" si="16"/>
        <v>34.5</v>
      </c>
      <c r="U86" s="3">
        <f t="shared" si="17"/>
        <v>-1121370.0496328315</v>
      </c>
      <c r="V86" s="3">
        <f t="shared" si="18"/>
        <v>15327.476751740129</v>
      </c>
      <c r="W86" s="3">
        <f t="shared" si="19"/>
        <v>-34157.440483452097</v>
      </c>
      <c r="X86" s="3">
        <f t="shared" si="20"/>
        <v>2653.8476807200077</v>
      </c>
      <c r="Y86" s="3">
        <f t="shared" si="21"/>
        <v>1124273.7942824003</v>
      </c>
      <c r="Z86" s="3">
        <f t="shared" si="22"/>
        <v>-6500.3180979005992</v>
      </c>
      <c r="AA86" s="3">
        <f t="shared" si="23"/>
        <v>1124292.5858714532</v>
      </c>
      <c r="AB86" s="3">
        <f t="shared" si="24"/>
        <v>1084273.7942824003</v>
      </c>
      <c r="AC86" s="3">
        <f t="shared" si="25"/>
        <v>-4000.3180979005992</v>
      </c>
      <c r="AD86" s="3">
        <f t="shared" si="26"/>
        <v>1084281.1736410612</v>
      </c>
      <c r="AE86" s="3">
        <f t="shared" si="27"/>
        <v>1099273.7942824003</v>
      </c>
      <c r="AF86" s="3">
        <f t="shared" si="31"/>
        <v>-29000.318097900599</v>
      </c>
      <c r="AG86" s="3">
        <f t="shared" si="28"/>
        <v>1099656.2614043555</v>
      </c>
      <c r="AH86" s="3">
        <f t="shared" si="29"/>
        <v>0.99979836593292104</v>
      </c>
      <c r="AI86" s="3">
        <f t="shared" si="30"/>
        <v>-1.4377161399363309E-2</v>
      </c>
    </row>
    <row r="87" spans="19:35" x14ac:dyDescent="0.3">
      <c r="S87" s="6">
        <v>70</v>
      </c>
      <c r="T87" s="4">
        <f t="shared" si="16"/>
        <v>35</v>
      </c>
      <c r="U87" s="3">
        <f t="shared" si="17"/>
        <v>-1138448.5199249662</v>
      </c>
      <c r="V87" s="3">
        <f t="shared" si="18"/>
        <v>16654.396997809785</v>
      </c>
      <c r="W87" s="3">
        <f t="shared" si="19"/>
        <v>-34122.447540644447</v>
      </c>
      <c r="X87" s="3">
        <f t="shared" si="20"/>
        <v>2653.3444800710299</v>
      </c>
      <c r="Y87" s="3">
        <f t="shared" si="21"/>
        <v>1141370.0496328315</v>
      </c>
      <c r="Z87" s="3">
        <f t="shared" si="22"/>
        <v>-7827.4767517401287</v>
      </c>
      <c r="AA87" s="3">
        <f t="shared" si="23"/>
        <v>1141396.8896011375</v>
      </c>
      <c r="AB87" s="3">
        <f t="shared" si="24"/>
        <v>1101370.0496328315</v>
      </c>
      <c r="AC87" s="3">
        <f t="shared" si="25"/>
        <v>-5327.4767517401287</v>
      </c>
      <c r="AD87" s="3">
        <f t="shared" si="26"/>
        <v>1101382.9344223407</v>
      </c>
      <c r="AE87" s="3">
        <f t="shared" si="27"/>
        <v>1116370.0496328315</v>
      </c>
      <c r="AF87" s="3">
        <f t="shared" si="31"/>
        <v>-30327.476751740127</v>
      </c>
      <c r="AG87" s="3">
        <f t="shared" si="28"/>
        <v>1116781.9140563381</v>
      </c>
      <c r="AH87" s="3">
        <f t="shared" si="29"/>
        <v>0.96958566884895647</v>
      </c>
      <c r="AI87" s="3">
        <f t="shared" si="30"/>
        <v>-1.4872561388308263E-2</v>
      </c>
    </row>
    <row r="88" spans="19:35" x14ac:dyDescent="0.3">
      <c r="S88" s="6">
        <v>71</v>
      </c>
      <c r="T88" s="4">
        <f t="shared" si="16"/>
        <v>35.5</v>
      </c>
      <c r="U88" s="3">
        <f t="shared" si="17"/>
        <v>-1155509.5012988711</v>
      </c>
      <c r="V88" s="3">
        <f t="shared" si="18"/>
        <v>17981.065519704953</v>
      </c>
      <c r="W88" s="3">
        <f t="shared" si="19"/>
        <v>-34088.027249400307</v>
      </c>
      <c r="X88" s="3">
        <f t="shared" si="20"/>
        <v>2652.8165041417451</v>
      </c>
      <c r="Y88" s="3">
        <f t="shared" si="21"/>
        <v>1158448.5199249662</v>
      </c>
      <c r="Z88" s="3">
        <f t="shared" si="22"/>
        <v>-9154.3969978097848</v>
      </c>
      <c r="AA88" s="3">
        <f t="shared" si="23"/>
        <v>1158484.6897135663</v>
      </c>
      <c r="AB88" s="3">
        <f t="shared" si="24"/>
        <v>1118448.5199249662</v>
      </c>
      <c r="AC88" s="3">
        <f t="shared" si="25"/>
        <v>-6654.3969978097848</v>
      </c>
      <c r="AD88" s="3">
        <f t="shared" si="26"/>
        <v>1118468.3154751197</v>
      </c>
      <c r="AE88" s="3">
        <f t="shared" si="27"/>
        <v>1133448.5199249662</v>
      </c>
      <c r="AF88" s="3">
        <f t="shared" si="31"/>
        <v>-31654.396997809785</v>
      </c>
      <c r="AG88" s="3">
        <f t="shared" si="28"/>
        <v>1133890.4480457499</v>
      </c>
      <c r="AH88" s="3">
        <f t="shared" si="29"/>
        <v>0.94074903608159333</v>
      </c>
      <c r="AI88" s="3">
        <f t="shared" si="30"/>
        <v>-1.5305522724166305E-2</v>
      </c>
    </row>
    <row r="89" spans="19:35" x14ac:dyDescent="0.3">
      <c r="S89" s="6">
        <v>72</v>
      </c>
      <c r="T89" s="4">
        <f t="shared" si="16"/>
        <v>36</v>
      </c>
      <c r="U89" s="3">
        <f t="shared" si="17"/>
        <v>-1172553.2797363123</v>
      </c>
      <c r="V89" s="3">
        <f t="shared" si="18"/>
        <v>19307.469945395143</v>
      </c>
      <c r="W89" s="3">
        <f t="shared" si="19"/>
        <v>-34054.160284101374</v>
      </c>
      <c r="X89" s="3">
        <f t="shared" si="20"/>
        <v>2652.2655053236749</v>
      </c>
      <c r="Y89" s="3">
        <f t="shared" si="21"/>
        <v>1175509.5012988711</v>
      </c>
      <c r="Z89" s="3">
        <f t="shared" si="22"/>
        <v>-10481.065519704953</v>
      </c>
      <c r="AA89" s="3">
        <f t="shared" si="23"/>
        <v>1175556.225953633</v>
      </c>
      <c r="AB89" s="3">
        <f t="shared" si="24"/>
        <v>1135509.5012988711</v>
      </c>
      <c r="AC89" s="3">
        <f t="shared" si="25"/>
        <v>-7981.0655197049527</v>
      </c>
      <c r="AD89" s="3">
        <f t="shared" si="26"/>
        <v>1135537.5488934044</v>
      </c>
      <c r="AE89" s="3">
        <f t="shared" si="27"/>
        <v>1150509.5012988711</v>
      </c>
      <c r="AF89" s="3">
        <f t="shared" si="31"/>
        <v>-32981.065519704949</v>
      </c>
      <c r="AG89" s="3">
        <f t="shared" si="28"/>
        <v>1150982.1298620549</v>
      </c>
      <c r="AH89" s="3">
        <f t="shared" si="29"/>
        <v>0.91320542546961403</v>
      </c>
      <c r="AI89" s="3">
        <f t="shared" si="30"/>
        <v>-1.5682113171529975E-2</v>
      </c>
    </row>
    <row r="90" spans="19:35" x14ac:dyDescent="0.3">
      <c r="S90" s="6">
        <v>73</v>
      </c>
      <c r="T90" s="4">
        <f t="shared" si="16"/>
        <v>36.5</v>
      </c>
      <c r="U90" s="3">
        <f t="shared" si="17"/>
        <v>-1189580.1315770068</v>
      </c>
      <c r="V90" s="3">
        <f t="shared" si="18"/>
        <v>20633.598777528689</v>
      </c>
      <c r="W90" s="3">
        <f t="shared" si="19"/>
        <v>-34020.82828607173</v>
      </c>
      <c r="X90" s="3">
        <f t="shared" si="20"/>
        <v>2651.6931081929142</v>
      </c>
      <c r="Y90" s="3">
        <f t="shared" si="21"/>
        <v>1192553.2797363123</v>
      </c>
      <c r="Z90" s="3">
        <f t="shared" si="22"/>
        <v>-11807.469945395143</v>
      </c>
      <c r="AA90" s="3">
        <f t="shared" si="23"/>
        <v>1192611.7311834337</v>
      </c>
      <c r="AB90" s="3">
        <f t="shared" si="24"/>
        <v>1152553.2797363123</v>
      </c>
      <c r="AC90" s="3">
        <f t="shared" si="25"/>
        <v>-9307.4699453951434</v>
      </c>
      <c r="AD90" s="3">
        <f t="shared" si="26"/>
        <v>1152590.8604651152</v>
      </c>
      <c r="AE90" s="3">
        <f t="shared" si="27"/>
        <v>1167553.2797363123</v>
      </c>
      <c r="AF90" s="3">
        <f t="shared" si="31"/>
        <v>-34307.469945395147</v>
      </c>
      <c r="AG90" s="3">
        <f t="shared" si="28"/>
        <v>1168057.217569873</v>
      </c>
      <c r="AH90" s="3">
        <f t="shared" si="29"/>
        <v>0.88687799561048186</v>
      </c>
      <c r="AI90" s="3">
        <f t="shared" si="30"/>
        <v>-1.6007781880294003E-2</v>
      </c>
    </row>
    <row r="91" spans="19:35" x14ac:dyDescent="0.3">
      <c r="S91" s="6">
        <v>74</v>
      </c>
      <c r="T91" s="4">
        <f t="shared" si="16"/>
        <v>37</v>
      </c>
      <c r="U91" s="3">
        <f t="shared" si="17"/>
        <v>-1206590.3240005437</v>
      </c>
      <c r="V91" s="3">
        <f t="shared" si="18"/>
        <v>21959.441329679674</v>
      </c>
      <c r="W91" s="3">
        <f t="shared" si="19"/>
        <v>-33988.013800234141</v>
      </c>
      <c r="X91" s="3">
        <f t="shared" si="20"/>
        <v>2651.1008202633434</v>
      </c>
      <c r="Y91" s="3">
        <f t="shared" si="21"/>
        <v>1209580.1315770068</v>
      </c>
      <c r="Z91" s="3">
        <f t="shared" si="22"/>
        <v>-13133.598777528689</v>
      </c>
      <c r="AA91" s="3">
        <f t="shared" si="23"/>
        <v>1209651.431662319</v>
      </c>
      <c r="AB91" s="3">
        <f t="shared" si="24"/>
        <v>1169580.1315770068</v>
      </c>
      <c r="AC91" s="3">
        <f t="shared" si="25"/>
        <v>-10633.598777528689</v>
      </c>
      <c r="AD91" s="3">
        <f t="shared" si="26"/>
        <v>1169628.4699008698</v>
      </c>
      <c r="AE91" s="3">
        <f t="shared" si="27"/>
        <v>1184580.1315770068</v>
      </c>
      <c r="AF91" s="3">
        <f t="shared" si="31"/>
        <v>-35633.598777528692</v>
      </c>
      <c r="AG91" s="3">
        <f t="shared" si="28"/>
        <v>1185115.9611990873</v>
      </c>
      <c r="AH91" s="3">
        <f t="shared" si="29"/>
        <v>0.86169555683846388</v>
      </c>
      <c r="AI91" s="3">
        <f t="shared" si="30"/>
        <v>-1.6287428371497038E-2</v>
      </c>
    </row>
    <row r="92" spans="19:35" x14ac:dyDescent="0.3">
      <c r="S92" s="6">
        <v>75</v>
      </c>
      <c r="T92" s="4">
        <f t="shared" si="16"/>
        <v>37.5</v>
      </c>
      <c r="U92" s="3">
        <f t="shared" si="17"/>
        <v>-1223584.1154767715</v>
      </c>
      <c r="V92" s="3">
        <f t="shared" si="18"/>
        <v>23284.987667954254</v>
      </c>
      <c r="W92" s="3">
        <f t="shared" si="19"/>
        <v>-33955.700216852696</v>
      </c>
      <c r="X92" s="3">
        <f t="shared" si="20"/>
        <v>2650.4900416994124</v>
      </c>
      <c r="Y92" s="3">
        <f t="shared" si="21"/>
        <v>1226590.3240005437</v>
      </c>
      <c r="Z92" s="3">
        <f t="shared" si="22"/>
        <v>-14459.441329679674</v>
      </c>
      <c r="AA92" s="3">
        <f t="shared" si="23"/>
        <v>1226675.5473128683</v>
      </c>
      <c r="AB92" s="3">
        <f t="shared" si="24"/>
        <v>1186590.3240005437</v>
      </c>
      <c r="AC92" s="3">
        <f t="shared" si="25"/>
        <v>-11959.441329679674</v>
      </c>
      <c r="AD92" s="3">
        <f t="shared" si="26"/>
        <v>1186650.5910539266</v>
      </c>
      <c r="AE92" s="3">
        <f t="shared" si="27"/>
        <v>1201590.3240005437</v>
      </c>
      <c r="AF92" s="3">
        <f t="shared" si="31"/>
        <v>-36959.44132967967</v>
      </c>
      <c r="AG92" s="3">
        <f t="shared" si="28"/>
        <v>1202158.6031115584</v>
      </c>
      <c r="AH92" s="3">
        <f t="shared" si="29"/>
        <v>0.83759207819400561</v>
      </c>
      <c r="AI92" s="3">
        <f t="shared" si="30"/>
        <v>-1.6525463075721718E-2</v>
      </c>
    </row>
    <row r="93" spans="19:35" x14ac:dyDescent="0.3">
      <c r="S93" s="6">
        <v>76</v>
      </c>
      <c r="T93" s="4">
        <f t="shared" si="16"/>
        <v>38</v>
      </c>
      <c r="U93" s="3">
        <f t="shared" si="17"/>
        <v>-1240561.7561871782</v>
      </c>
      <c r="V93" s="3">
        <f t="shared" si="18"/>
        <v>24610.228557438193</v>
      </c>
      <c r="W93" s="3">
        <f t="shared" si="19"/>
        <v>-33923.871717881324</v>
      </c>
      <c r="X93" s="3">
        <f t="shared" si="20"/>
        <v>2649.8620741025347</v>
      </c>
      <c r="Y93" s="3">
        <f t="shared" si="21"/>
        <v>1243584.1154767715</v>
      </c>
      <c r="Z93" s="3">
        <f t="shared" si="22"/>
        <v>-15784.987667954254</v>
      </c>
      <c r="AA93" s="3">
        <f t="shared" si="23"/>
        <v>1243684.2919735785</v>
      </c>
      <c r="AB93" s="3">
        <f t="shared" si="24"/>
        <v>1203584.1154767715</v>
      </c>
      <c r="AC93" s="3">
        <f t="shared" si="25"/>
        <v>-13284.987667954254</v>
      </c>
      <c r="AD93" s="3">
        <f t="shared" si="26"/>
        <v>1203657.4321314765</v>
      </c>
      <c r="AE93" s="3">
        <f t="shared" si="27"/>
        <v>1218584.1154767715</v>
      </c>
      <c r="AF93" s="3">
        <f t="shared" si="31"/>
        <v>-38284.98766795425</v>
      </c>
      <c r="AG93" s="3">
        <f t="shared" si="28"/>
        <v>1219185.3783461484</v>
      </c>
      <c r="AH93" s="3">
        <f t="shared" si="29"/>
        <v>0.81450624394438531</v>
      </c>
      <c r="AI93" s="3">
        <f t="shared" si="30"/>
        <v>-1.6725860554449617E-2</v>
      </c>
    </row>
    <row r="94" spans="19:35" x14ac:dyDescent="0.3">
      <c r="S94" s="6">
        <v>77</v>
      </c>
      <c r="T94" s="4">
        <f t="shared" si="16"/>
        <v>38.5</v>
      </c>
      <c r="U94" s="3">
        <f t="shared" si="17"/>
        <v>-1257523.4884195579</v>
      </c>
      <c r="V94" s="3">
        <f t="shared" si="18"/>
        <v>25935.155413024324</v>
      </c>
      <c r="W94" s="3">
        <f t="shared" si="19"/>
        <v>-33892.513227489464</v>
      </c>
      <c r="X94" s="3">
        <f t="shared" si="20"/>
        <v>2649.2181284711883</v>
      </c>
      <c r="Y94" s="3">
        <f t="shared" si="21"/>
        <v>1260561.7561871782</v>
      </c>
      <c r="Z94" s="3">
        <f t="shared" si="22"/>
        <v>-17110.228557438193</v>
      </c>
      <c r="AA94" s="3">
        <f t="shared" si="23"/>
        <v>1260677.8736390159</v>
      </c>
      <c r="AB94" s="3">
        <f t="shared" si="24"/>
        <v>1220561.7561871782</v>
      </c>
      <c r="AC94" s="3">
        <f t="shared" si="25"/>
        <v>-14610.228557438193</v>
      </c>
      <c r="AD94" s="3">
        <f t="shared" si="26"/>
        <v>1220649.1958975063</v>
      </c>
      <c r="AE94" s="3">
        <f t="shared" si="27"/>
        <v>1235561.7561871782</v>
      </c>
      <c r="AF94" s="3">
        <f t="shared" si="31"/>
        <v>-39610.228557438197</v>
      </c>
      <c r="AG94" s="3">
        <f t="shared" si="28"/>
        <v>1236196.5149436058</v>
      </c>
      <c r="AH94" s="3">
        <f t="shared" si="29"/>
        <v>0.79238105403776726</v>
      </c>
      <c r="AI94" s="3">
        <f t="shared" si="30"/>
        <v>-1.6892206370576649E-2</v>
      </c>
    </row>
    <row r="95" spans="19:35" x14ac:dyDescent="0.3">
      <c r="S95" s="6">
        <v>78</v>
      </c>
      <c r="T95" s="4">
        <f t="shared" si="16"/>
        <v>39</v>
      </c>
      <c r="U95" s="3">
        <f t="shared" si="17"/>
        <v>-1274469.5469380391</v>
      </c>
      <c r="V95" s="3">
        <f t="shared" si="18"/>
        <v>27259.760254208326</v>
      </c>
      <c r="W95" s="3">
        <f t="shared" si="19"/>
        <v>-33861.610366381989</v>
      </c>
      <c r="X95" s="3">
        <f t="shared" si="20"/>
        <v>2648.5593324227357</v>
      </c>
      <c r="Y95" s="3">
        <f t="shared" si="21"/>
        <v>1277523.4884195579</v>
      </c>
      <c r="Z95" s="3">
        <f t="shared" si="22"/>
        <v>-18435.155413024324</v>
      </c>
      <c r="AA95" s="3">
        <f t="shared" si="23"/>
        <v>1277656.4946881374</v>
      </c>
      <c r="AB95" s="3">
        <f t="shared" si="24"/>
        <v>1237523.4884195579</v>
      </c>
      <c r="AC95" s="3">
        <f t="shared" si="25"/>
        <v>-15935.155413024324</v>
      </c>
      <c r="AD95" s="3">
        <f t="shared" si="26"/>
        <v>1237626.0798674813</v>
      </c>
      <c r="AE95" s="3">
        <f t="shared" si="27"/>
        <v>1252523.4884195579</v>
      </c>
      <c r="AF95" s="3">
        <f t="shared" si="31"/>
        <v>-40935.155413024324</v>
      </c>
      <c r="AG95" s="3">
        <f t="shared" si="28"/>
        <v>1253192.2342527451</v>
      </c>
      <c r="AH95" s="3">
        <f t="shared" si="29"/>
        <v>0.77116346357990961</v>
      </c>
      <c r="AI95" s="3">
        <f t="shared" si="30"/>
        <v>-1.7027738435816002E-2</v>
      </c>
    </row>
    <row r="96" spans="19:35" x14ac:dyDescent="0.3">
      <c r="S96" s="6">
        <v>79</v>
      </c>
      <c r="T96" s="4">
        <f t="shared" si="16"/>
        <v>39.5</v>
      </c>
      <c r="U96" s="3">
        <f t="shared" si="17"/>
        <v>-1291400.1593303643</v>
      </c>
      <c r="V96" s="3">
        <f t="shared" si="18"/>
        <v>28584.035663485087</v>
      </c>
      <c r="W96" s="3">
        <f t="shared" si="19"/>
        <v>-33831.149409570586</v>
      </c>
      <c r="X96" s="3">
        <f t="shared" si="20"/>
        <v>2647.8867367545208</v>
      </c>
      <c r="Y96" s="3">
        <f t="shared" si="21"/>
        <v>1294469.5469380391</v>
      </c>
      <c r="Z96" s="3">
        <f t="shared" si="22"/>
        <v>-19759.760254208326</v>
      </c>
      <c r="AA96" s="3">
        <f t="shared" si="23"/>
        <v>1294620.3521014475</v>
      </c>
      <c r="AB96" s="3">
        <f t="shared" si="24"/>
        <v>1254469.5469380391</v>
      </c>
      <c r="AC96" s="3">
        <f t="shared" si="25"/>
        <v>-17259.760254208326</v>
      </c>
      <c r="AD96" s="3">
        <f t="shared" si="26"/>
        <v>1254588.2764951065</v>
      </c>
      <c r="AE96" s="3">
        <f t="shared" si="27"/>
        <v>1269469.5469380391</v>
      </c>
      <c r="AF96" s="3">
        <f t="shared" si="31"/>
        <v>-42259.760254208326</v>
      </c>
      <c r="AG96" s="3">
        <f t="shared" si="28"/>
        <v>1270172.7512192244</v>
      </c>
      <c r="AH96" s="3">
        <f t="shared" si="29"/>
        <v>0.75080405703223874</v>
      </c>
      <c r="AI96" s="3">
        <f t="shared" si="30"/>
        <v>-1.7135383545634136E-2</v>
      </c>
    </row>
    <row r="97" spans="19:35" x14ac:dyDescent="0.3">
      <c r="S97" s="6">
        <v>80</v>
      </c>
      <c r="T97" s="4">
        <f t="shared" si="16"/>
        <v>40</v>
      </c>
      <c r="U97" s="3">
        <f t="shared" si="17"/>
        <v>-1308315.5463341353</v>
      </c>
      <c r="V97" s="3">
        <f t="shared" si="18"/>
        <v>29907.974748016462</v>
      </c>
      <c r="W97" s="3">
        <f t="shared" si="19"/>
        <v>-33801.117247289294</v>
      </c>
      <c r="X97" s="3">
        <f t="shared" si="20"/>
        <v>2647.2013214126955</v>
      </c>
      <c r="Y97" s="3">
        <f t="shared" si="21"/>
        <v>1311400.1593303643</v>
      </c>
      <c r="Z97" s="3">
        <f t="shared" si="22"/>
        <v>-21084.035663485087</v>
      </c>
      <c r="AA97" s="3">
        <f t="shared" si="23"/>
        <v>1311569.6376676168</v>
      </c>
      <c r="AB97" s="3">
        <f t="shared" si="24"/>
        <v>1271400.1593303643</v>
      </c>
      <c r="AC97" s="3">
        <f t="shared" si="25"/>
        <v>-18584.035663485087</v>
      </c>
      <c r="AD97" s="3">
        <f t="shared" si="26"/>
        <v>1271535.9733514492</v>
      </c>
      <c r="AE97" s="3">
        <f t="shared" si="27"/>
        <v>1286400.1593303643</v>
      </c>
      <c r="AF97" s="3">
        <f t="shared" si="31"/>
        <v>-43584.03566348509</v>
      </c>
      <c r="AG97" s="3">
        <f t="shared" si="28"/>
        <v>1287138.2746581279</v>
      </c>
      <c r="AH97" s="3">
        <f t="shared" si="29"/>
        <v>0.73125675335670137</v>
      </c>
      <c r="AI97" s="3">
        <f t="shared" si="30"/>
        <v>-1.7217789713141529E-2</v>
      </c>
    </row>
    <row r="98" spans="19:35" x14ac:dyDescent="0.3">
      <c r="S98" s="6">
        <v>81</v>
      </c>
      <c r="T98" s="4">
        <f t="shared" si="16"/>
        <v>40.5</v>
      </c>
      <c r="U98" s="3">
        <f t="shared" si="17"/>
        <v>-1325215.9221435918</v>
      </c>
      <c r="V98" s="3">
        <f t="shared" si="18"/>
        <v>31231.571104275379</v>
      </c>
      <c r="W98" s="3">
        <f t="shared" si="19"/>
        <v>-33771.501348778351</v>
      </c>
      <c r="X98" s="3">
        <f t="shared" si="20"/>
        <v>2646.5040009293134</v>
      </c>
      <c r="Y98" s="3">
        <f t="shared" si="21"/>
        <v>1328315.5463341353</v>
      </c>
      <c r="Z98" s="3">
        <f t="shared" si="22"/>
        <v>-22407.974748016462</v>
      </c>
      <c r="AA98" s="3">
        <f t="shared" si="23"/>
        <v>1328504.5381801524</v>
      </c>
      <c r="AB98" s="3">
        <f t="shared" si="24"/>
        <v>1288315.5463341353</v>
      </c>
      <c r="AC98" s="3">
        <f t="shared" si="25"/>
        <v>-19907.974748016462</v>
      </c>
      <c r="AD98" s="3">
        <f t="shared" si="26"/>
        <v>1288469.3532966895</v>
      </c>
      <c r="AE98" s="3">
        <f t="shared" si="27"/>
        <v>1303315.5463341353</v>
      </c>
      <c r="AF98" s="3">
        <f t="shared" si="31"/>
        <v>-44907.974748016466</v>
      </c>
      <c r="AG98" s="3">
        <f t="shared" si="28"/>
        <v>1304089.0075114558</v>
      </c>
      <c r="AH98" s="3">
        <f t="shared" si="29"/>
        <v>0.71247853878852574</v>
      </c>
      <c r="AI98" s="3">
        <f t="shared" si="30"/>
        <v>-1.7277354829070057E-2</v>
      </c>
    </row>
    <row r="99" spans="19:35" x14ac:dyDescent="0.3">
      <c r="S99" s="6">
        <v>82</v>
      </c>
      <c r="T99" s="4">
        <f t="shared" si="16"/>
        <v>41</v>
      </c>
      <c r="U99" s="3">
        <f t="shared" si="17"/>
        <v>-1342101.4946983461</v>
      </c>
      <c r="V99" s="3">
        <f t="shared" si="18"/>
        <v>32554.81878540133</v>
      </c>
      <c r="W99" s="3">
        <f t="shared" si="19"/>
        <v>-33742.289728688018</v>
      </c>
      <c r="X99" s="3">
        <f t="shared" si="20"/>
        <v>2645.7956293813218</v>
      </c>
      <c r="Y99" s="3">
        <f t="shared" si="21"/>
        <v>1345215.9221435918</v>
      </c>
      <c r="Z99" s="3">
        <f t="shared" si="22"/>
        <v>-23731.571104275379</v>
      </c>
      <c r="AA99" s="3">
        <f t="shared" si="23"/>
        <v>1345425.2356246747</v>
      </c>
      <c r="AB99" s="3">
        <f t="shared" si="24"/>
        <v>1305215.9221435918</v>
      </c>
      <c r="AC99" s="3">
        <f t="shared" si="25"/>
        <v>-21231.571104275379</v>
      </c>
      <c r="AD99" s="3">
        <f t="shared" si="26"/>
        <v>1305388.594644791</v>
      </c>
      <c r="AE99" s="3">
        <f t="shared" si="27"/>
        <v>1320215.9221435918</v>
      </c>
      <c r="AF99" s="3">
        <f t="shared" si="31"/>
        <v>-46231.571104275383</v>
      </c>
      <c r="AG99" s="3">
        <f t="shared" si="28"/>
        <v>1321025.1470915398</v>
      </c>
      <c r="AH99" s="3">
        <f t="shared" si="29"/>
        <v>0.69442922431356946</v>
      </c>
      <c r="AI99" s="3">
        <f t="shared" si="30"/>
        <v>-1.7316252103209417E-2</v>
      </c>
    </row>
    <row r="100" spans="19:35" x14ac:dyDescent="0.3">
      <c r="S100" s="6">
        <v>83</v>
      </c>
      <c r="T100" s="4">
        <f t="shared" si="16"/>
        <v>41.5</v>
      </c>
      <c r="U100" s="3">
        <f t="shared" si="17"/>
        <v>-1358972.4659553841</v>
      </c>
      <c r="V100" s="3">
        <f t="shared" si="18"/>
        <v>33877.712271028962</v>
      </c>
      <c r="W100" s="3">
        <f t="shared" si="19"/>
        <v>-33713.470915879006</v>
      </c>
      <c r="X100" s="3">
        <f t="shared" si="20"/>
        <v>2645.0770049190387</v>
      </c>
      <c r="Y100" s="3">
        <f t="shared" si="21"/>
        <v>1362101.4946983461</v>
      </c>
      <c r="Z100" s="3">
        <f t="shared" si="22"/>
        <v>-25054.81878540133</v>
      </c>
      <c r="AA100" s="3">
        <f t="shared" si="23"/>
        <v>1362331.9073573216</v>
      </c>
      <c r="AB100" s="3">
        <f t="shared" si="24"/>
        <v>1322101.4946983461</v>
      </c>
      <c r="AC100" s="3">
        <f t="shared" si="25"/>
        <v>-22554.81878540133</v>
      </c>
      <c r="AD100" s="3">
        <f t="shared" si="26"/>
        <v>1322293.8713213652</v>
      </c>
      <c r="AE100" s="3">
        <f t="shared" si="27"/>
        <v>1337101.4946983461</v>
      </c>
      <c r="AF100" s="3">
        <f t="shared" si="31"/>
        <v>-47554.81878540133</v>
      </c>
      <c r="AG100" s="3">
        <f t="shared" si="28"/>
        <v>1337946.8853113204</v>
      </c>
      <c r="AH100" s="3">
        <f t="shared" si="29"/>
        <v>0.677071225270653</v>
      </c>
      <c r="AI100" s="3">
        <f t="shared" si="30"/>
        <v>-1.7336452681447002E-2</v>
      </c>
    </row>
    <row r="101" spans="19:35" x14ac:dyDescent="0.3">
      <c r="S101" s="6">
        <v>84</v>
      </c>
      <c r="T101" s="4">
        <f t="shared" si="16"/>
        <v>42</v>
      </c>
      <c r="U101" s="3">
        <f t="shared" si="17"/>
        <v>-1375829.0321455174</v>
      </c>
      <c r="V101" s="3">
        <f t="shared" si="18"/>
        <v>35200.246439375311</v>
      </c>
      <c r="W101" s="3">
        <f t="shared" si="19"/>
        <v>-33685.033924417636</v>
      </c>
      <c r="X101" s="3">
        <f t="shared" si="20"/>
        <v>2644.3488739064178</v>
      </c>
      <c r="Y101" s="3">
        <f t="shared" si="21"/>
        <v>1378972.4659553841</v>
      </c>
      <c r="Z101" s="3">
        <f t="shared" si="22"/>
        <v>-26377.712271028962</v>
      </c>
      <c r="AA101" s="3">
        <f t="shared" si="23"/>
        <v>1379224.7262747742</v>
      </c>
      <c r="AB101" s="3">
        <f t="shared" si="24"/>
        <v>1338972.4659553841</v>
      </c>
      <c r="AC101" s="3">
        <f t="shared" si="25"/>
        <v>-23877.712271028962</v>
      </c>
      <c r="AD101" s="3">
        <f t="shared" si="26"/>
        <v>1339185.3530150112</v>
      </c>
      <c r="AE101" s="3">
        <f t="shared" si="27"/>
        <v>1353972.4659553841</v>
      </c>
      <c r="AF101" s="3">
        <f t="shared" si="31"/>
        <v>-48877.712271028962</v>
      </c>
      <c r="AG101" s="3">
        <f t="shared" si="28"/>
        <v>1354854.4089023564</v>
      </c>
      <c r="AH101" s="3">
        <f t="shared" si="29"/>
        <v>0.66036936079869124</v>
      </c>
      <c r="AI101" s="3">
        <f t="shared" si="30"/>
        <v>-1.733974578020224E-2</v>
      </c>
    </row>
    <row r="102" spans="19:35" x14ac:dyDescent="0.3">
      <c r="S102" s="6">
        <v>85</v>
      </c>
      <c r="T102" s="4">
        <f t="shared" si="16"/>
        <v>42.5</v>
      </c>
      <c r="U102" s="3">
        <f t="shared" si="17"/>
        <v>-1392671.384015386</v>
      </c>
      <c r="V102" s="3">
        <f t="shared" si="18"/>
        <v>36522.416541392078</v>
      </c>
      <c r="W102" s="3">
        <f t="shared" si="19"/>
        <v>-33656.968226583689</v>
      </c>
      <c r="X102" s="3">
        <f t="shared" si="20"/>
        <v>2643.6119347107592</v>
      </c>
      <c r="Y102" s="3">
        <f t="shared" si="21"/>
        <v>1395829.0321455174</v>
      </c>
      <c r="Z102" s="3">
        <f t="shared" si="22"/>
        <v>-27700.246439375311</v>
      </c>
      <c r="AA102" s="3">
        <f t="shared" si="23"/>
        <v>1396103.8609763582</v>
      </c>
      <c r="AB102" s="3">
        <f t="shared" si="24"/>
        <v>1355829.0321455174</v>
      </c>
      <c r="AC102" s="3">
        <f t="shared" si="25"/>
        <v>-25200.246439375311</v>
      </c>
      <c r="AD102" s="3">
        <f t="shared" si="26"/>
        <v>1356063.2053223979</v>
      </c>
      <c r="AE102" s="3">
        <f t="shared" si="27"/>
        <v>1370829.0321455174</v>
      </c>
      <c r="AF102" s="3">
        <f t="shared" si="31"/>
        <v>-50200.246439375311</v>
      </c>
      <c r="AG102" s="3">
        <f t="shared" si="28"/>
        <v>1371747.8996213519</v>
      </c>
      <c r="AH102" s="3">
        <f t="shared" si="29"/>
        <v>0.64429067110970473</v>
      </c>
      <c r="AI102" s="3">
        <f t="shared" si="30"/>
        <v>-1.7327756635192808E-2</v>
      </c>
    </row>
    <row r="103" spans="19:35" x14ac:dyDescent="0.3">
      <c r="S103" s="6">
        <v>86</v>
      </c>
      <c r="T103" s="4">
        <f t="shared" si="16"/>
        <v>43</v>
      </c>
      <c r="U103" s="3">
        <f t="shared" si="17"/>
        <v>-1409499.7070560101</v>
      </c>
      <c r="V103" s="3">
        <f t="shared" si="18"/>
        <v>37844.218176808303</v>
      </c>
      <c r="W103" s="3">
        <f t="shared" si="19"/>
        <v>-33629.263727725971</v>
      </c>
      <c r="X103" s="3">
        <f t="shared" si="20"/>
        <v>2642.8668411754461</v>
      </c>
      <c r="Y103" s="3">
        <f t="shared" si="21"/>
        <v>1412671.384015386</v>
      </c>
      <c r="Z103" s="3">
        <f t="shared" si="22"/>
        <v>-29022.416541392078</v>
      </c>
      <c r="AA103" s="3">
        <f t="shared" si="23"/>
        <v>1412969.4759186583</v>
      </c>
      <c r="AB103" s="3">
        <f t="shared" si="24"/>
        <v>1372671.384015386</v>
      </c>
      <c r="AC103" s="3">
        <f t="shared" si="25"/>
        <v>-26522.416541392078</v>
      </c>
      <c r="AD103" s="3">
        <f t="shared" si="26"/>
        <v>1372927.5898873582</v>
      </c>
      <c r="AE103" s="3">
        <f t="shared" si="27"/>
        <v>1387671.384015386</v>
      </c>
      <c r="AF103" s="3">
        <f t="shared" si="31"/>
        <v>-51522.416541392078</v>
      </c>
      <c r="AG103" s="3">
        <f t="shared" si="28"/>
        <v>1388627.5344459512</v>
      </c>
      <c r="AH103" s="3">
        <f t="shared" si="29"/>
        <v>0.62880425079710056</v>
      </c>
      <c r="AI103" s="3">
        <f t="shared" si="30"/>
        <v>-1.7301962522956474E-2</v>
      </c>
    </row>
    <row r="104" spans="19:35" x14ac:dyDescent="0.3">
      <c r="S104" s="6">
        <v>87</v>
      </c>
      <c r="T104" s="4">
        <f t="shared" si="16"/>
        <v>43.5</v>
      </c>
      <c r="U104" s="3">
        <f t="shared" si="17"/>
        <v>-1426314.1817188105</v>
      </c>
      <c r="V104" s="3">
        <f t="shared" si="18"/>
        <v>39165.647271905393</v>
      </c>
      <c r="W104" s="3">
        <f t="shared" si="19"/>
        <v>-33601.910742816297</v>
      </c>
      <c r="X104" s="3">
        <f t="shared" si="20"/>
        <v>2642.1142058056976</v>
      </c>
      <c r="Y104" s="3">
        <f t="shared" si="21"/>
        <v>1429499.7070560101</v>
      </c>
      <c r="Z104" s="3">
        <f t="shared" si="22"/>
        <v>-30344.218176808303</v>
      </c>
      <c r="AA104" s="3">
        <f t="shared" si="23"/>
        <v>1429821.7315630578</v>
      </c>
      <c r="AB104" s="3">
        <f t="shared" si="24"/>
        <v>1389499.7070560101</v>
      </c>
      <c r="AC104" s="3">
        <f t="shared" si="25"/>
        <v>-27844.218176808303</v>
      </c>
      <c r="AD104" s="3">
        <f t="shared" si="26"/>
        <v>1389778.6645342545</v>
      </c>
      <c r="AE104" s="3">
        <f t="shared" si="27"/>
        <v>1404499.7070560101</v>
      </c>
      <c r="AF104" s="3">
        <f t="shared" si="31"/>
        <v>-52844.218176808303</v>
      </c>
      <c r="AG104" s="3">
        <f t="shared" si="28"/>
        <v>1405493.4857604771</v>
      </c>
      <c r="AH104" s="3">
        <f t="shared" si="29"/>
        <v>0.61388109658874945</v>
      </c>
      <c r="AI104" s="3">
        <f t="shared" si="30"/>
        <v>-1.7263707080431453E-2</v>
      </c>
    </row>
    <row r="105" spans="19:35" x14ac:dyDescent="0.3">
      <c r="S105" s="6">
        <v>88</v>
      </c>
      <c r="T105" s="4">
        <f t="shared" si="16"/>
        <v>44</v>
      </c>
      <c r="U105" s="3">
        <f t="shared" si="17"/>
        <v>-1443114.9836199447</v>
      </c>
      <c r="V105" s="3">
        <f t="shared" si="18"/>
        <v>40486.70005888147</v>
      </c>
      <c r="W105" s="3">
        <f t="shared" si="19"/>
        <v>-33574.89997456639</v>
      </c>
      <c r="X105" s="3">
        <f t="shared" si="20"/>
        <v>2641.3546026941585</v>
      </c>
      <c r="Y105" s="3">
        <f t="shared" si="21"/>
        <v>1446314.1817188105</v>
      </c>
      <c r="Z105" s="3">
        <f t="shared" si="22"/>
        <v>-31665.647271905393</v>
      </c>
      <c r="AA105" s="3">
        <f t="shared" si="23"/>
        <v>1446660.7845165711</v>
      </c>
      <c r="AB105" s="3">
        <f t="shared" si="24"/>
        <v>1406314.1817188105</v>
      </c>
      <c r="AC105" s="3">
        <f t="shared" si="25"/>
        <v>-29165.647271905393</v>
      </c>
      <c r="AD105" s="3">
        <f t="shared" si="26"/>
        <v>1406616.5833958581</v>
      </c>
      <c r="AE105" s="3">
        <f t="shared" si="27"/>
        <v>1421314.1817188105</v>
      </c>
      <c r="AF105" s="3">
        <f t="shared" si="31"/>
        <v>-54165.647271905393</v>
      </c>
      <c r="AG105" s="3">
        <f t="shared" si="28"/>
        <v>1422345.9215322398</v>
      </c>
      <c r="AH105" s="3">
        <f t="shared" si="29"/>
        <v>0.59949396812979805</v>
      </c>
      <c r="AI105" s="3">
        <f t="shared" si="30"/>
        <v>-1.7214213119345834E-2</v>
      </c>
    </row>
    <row r="106" spans="19:35" x14ac:dyDescent="0.3">
      <c r="S106" s="6">
        <v>89</v>
      </c>
      <c r="T106" s="4">
        <f t="shared" si="16"/>
        <v>44.5</v>
      </c>
      <c r="U106" s="3">
        <f t="shared" si="17"/>
        <v>-1459902.2837337358</v>
      </c>
      <c r="V106" s="3">
        <f t="shared" si="18"/>
        <v>41807.373056675271</v>
      </c>
      <c r="W106" s="3">
        <f t="shared" si="19"/>
        <v>-33548.222492984612</v>
      </c>
      <c r="X106" s="3">
        <f t="shared" si="20"/>
        <v>2640.5885702103478</v>
      </c>
      <c r="Y106" s="3">
        <f t="shared" si="21"/>
        <v>1463114.9836199447</v>
      </c>
      <c r="Z106" s="3">
        <f t="shared" si="22"/>
        <v>-32986.70005888147</v>
      </c>
      <c r="AA106" s="3">
        <f t="shared" si="23"/>
        <v>1463486.7876663478</v>
      </c>
      <c r="AB106" s="3">
        <f t="shared" si="24"/>
        <v>1423114.9836199447</v>
      </c>
      <c r="AC106" s="3">
        <f t="shared" si="25"/>
        <v>-30486.70005888147</v>
      </c>
      <c r="AD106" s="3">
        <f t="shared" si="26"/>
        <v>1423441.4970359954</v>
      </c>
      <c r="AE106" s="3">
        <f t="shared" si="27"/>
        <v>1438114.9836199447</v>
      </c>
      <c r="AF106" s="3">
        <f t="shared" si="31"/>
        <v>-55486.70005888147</v>
      </c>
      <c r="AG106" s="3">
        <f t="shared" si="28"/>
        <v>1439185.0054790101</v>
      </c>
      <c r="AH106" s="3">
        <f t="shared" si="29"/>
        <v>0.58561726053436325</v>
      </c>
      <c r="AI106" s="3">
        <f t="shared" si="30"/>
        <v>-1.7154594107518305E-2</v>
      </c>
    </row>
    <row r="107" spans="19:35" x14ac:dyDescent="0.3">
      <c r="S107" s="6">
        <v>90</v>
      </c>
      <c r="T107" s="4">
        <f t="shared" si="16"/>
        <v>45</v>
      </c>
      <c r="U107" s="3">
        <f t="shared" si="17"/>
        <v>-1476676.248575913</v>
      </c>
      <c r="V107" s="3">
        <f t="shared" si="18"/>
        <v>43127.663053131917</v>
      </c>
      <c r="W107" s="3">
        <f t="shared" si="19"/>
        <v>-33521.869716260568</v>
      </c>
      <c r="X107" s="3">
        <f t="shared" si="20"/>
        <v>2639.8166134755097</v>
      </c>
      <c r="Y107" s="3">
        <f t="shared" si="21"/>
        <v>1479902.2837337358</v>
      </c>
      <c r="Z107" s="3">
        <f t="shared" si="22"/>
        <v>-34307.373056675271</v>
      </c>
      <c r="AA107" s="3">
        <f t="shared" si="23"/>
        <v>1480299.8903081687</v>
      </c>
      <c r="AB107" s="3">
        <f t="shared" si="24"/>
        <v>1439902.2837337358</v>
      </c>
      <c r="AC107" s="3">
        <f t="shared" si="25"/>
        <v>-31807.373056675271</v>
      </c>
      <c r="AD107" s="3">
        <f t="shared" si="26"/>
        <v>1440253.552567184</v>
      </c>
      <c r="AE107" s="3">
        <f t="shared" si="27"/>
        <v>1454902.2837337358</v>
      </c>
      <c r="AF107" s="3">
        <f t="shared" si="31"/>
        <v>-56807.373056675271</v>
      </c>
      <c r="AG107" s="3">
        <f t="shared" si="28"/>
        <v>1456010.8972281904</v>
      </c>
      <c r="AH107" s="3">
        <f t="shared" si="29"/>
        <v>0.57222688758105189</v>
      </c>
      <c r="AI107" s="3">
        <f t="shared" si="30"/>
        <v>-1.7085864467851711E-2</v>
      </c>
    </row>
    <row r="108" spans="19:35" x14ac:dyDescent="0.3">
      <c r="S108" s="6">
        <v>91</v>
      </c>
      <c r="T108" s="4">
        <f t="shared" si="16"/>
        <v>45.5</v>
      </c>
      <c r="U108" s="3">
        <f t="shared" si="17"/>
        <v>-1493437.0403773214</v>
      </c>
      <c r="V108" s="3">
        <f t="shared" si="18"/>
        <v>44447.567088403557</v>
      </c>
      <c r="W108" s="3">
        <f t="shared" si="19"/>
        <v>-33495.833392875633</v>
      </c>
      <c r="X108" s="3">
        <f t="shared" si="20"/>
        <v>2639.0392066422223</v>
      </c>
      <c r="Y108" s="3">
        <f t="shared" si="21"/>
        <v>1496676.248575913</v>
      </c>
      <c r="Z108" s="3">
        <f t="shared" si="22"/>
        <v>-35627.663053131917</v>
      </c>
      <c r="AA108" s="3">
        <f t="shared" si="23"/>
        <v>1497100.2382692669</v>
      </c>
      <c r="AB108" s="3">
        <f t="shared" si="24"/>
        <v>1456676.248575913</v>
      </c>
      <c r="AC108" s="3">
        <f t="shared" si="25"/>
        <v>-33127.663053131917</v>
      </c>
      <c r="AD108" s="3">
        <f t="shared" si="26"/>
        <v>1457052.8937634889</v>
      </c>
      <c r="AE108" s="3">
        <f t="shared" si="27"/>
        <v>1471676.248575913</v>
      </c>
      <c r="AF108" s="3">
        <f t="shared" si="31"/>
        <v>-58127.663053131917</v>
      </c>
      <c r="AG108" s="3">
        <f t="shared" si="28"/>
        <v>1472823.7524681936</v>
      </c>
      <c r="AH108" s="3">
        <f t="shared" si="29"/>
        <v>0.55930017454690784</v>
      </c>
      <c r="AI108" s="3">
        <f t="shared" si="30"/>
        <v>-1.7008948827325863E-2</v>
      </c>
    </row>
    <row r="109" spans="19:35" x14ac:dyDescent="0.3">
      <c r="S109" s="6">
        <v>92</v>
      </c>
      <c r="T109" s="4">
        <f t="shared" si="16"/>
        <v>46</v>
      </c>
      <c r="U109" s="3">
        <f t="shared" si="17"/>
        <v>-1510184.8172487156</v>
      </c>
      <c r="V109" s="3">
        <f t="shared" si="18"/>
        <v>45767.082439487458</v>
      </c>
      <c r="W109" s="3">
        <f t="shared" si="19"/>
        <v>-33470.105584846475</v>
      </c>
      <c r="X109" s="3">
        <f t="shared" si="20"/>
        <v>2638.2567949961654</v>
      </c>
      <c r="Y109" s="3">
        <f t="shared" si="21"/>
        <v>1513437.0403773214</v>
      </c>
      <c r="Z109" s="3">
        <f t="shared" si="22"/>
        <v>-36947.567088403557</v>
      </c>
      <c r="AA109" s="3">
        <f t="shared" si="23"/>
        <v>1513887.9740257591</v>
      </c>
      <c r="AB109" s="3">
        <f t="shared" si="24"/>
        <v>1473437.0403773214</v>
      </c>
      <c r="AC109" s="3">
        <f t="shared" si="25"/>
        <v>-34447.567088403557</v>
      </c>
      <c r="AD109" s="3">
        <f t="shared" si="26"/>
        <v>1473839.6611688093</v>
      </c>
      <c r="AE109" s="3">
        <f t="shared" si="27"/>
        <v>1488437.0403773214</v>
      </c>
      <c r="AF109" s="3">
        <f t="shared" si="31"/>
        <v>-59447.567088403557</v>
      </c>
      <c r="AG109" s="3">
        <f t="shared" si="28"/>
        <v>1489623.7230924899</v>
      </c>
      <c r="AH109" s="3">
        <f t="shared" si="29"/>
        <v>0.54681575978010111</v>
      </c>
      <c r="AI109" s="3">
        <f t="shared" si="30"/>
        <v>-1.6924690332261218E-2</v>
      </c>
    </row>
    <row r="110" spans="19:35" x14ac:dyDescent="0.3">
      <c r="S110" s="6">
        <v>93</v>
      </c>
      <c r="T110" s="4">
        <f t="shared" si="16"/>
        <v>46.5</v>
      </c>
      <c r="U110" s="3">
        <f t="shared" si="17"/>
        <v>-1526919.7333371988</v>
      </c>
      <c r="V110" s="3">
        <f t="shared" si="18"/>
        <v>47086.206605812957</v>
      </c>
      <c r="W110" s="3">
        <f t="shared" si="19"/>
        <v>-33444.678652016701</v>
      </c>
      <c r="X110" s="3">
        <f t="shared" si="20"/>
        <v>2637.4697968957153</v>
      </c>
      <c r="Y110" s="3">
        <f t="shared" si="21"/>
        <v>1530184.8172487156</v>
      </c>
      <c r="Z110" s="3">
        <f t="shared" si="22"/>
        <v>-38267.082439487458</v>
      </c>
      <c r="AA110" s="3">
        <f t="shared" si="23"/>
        <v>1530663.2368149813</v>
      </c>
      <c r="AB110" s="3">
        <f t="shared" si="24"/>
        <v>1490184.8172487156</v>
      </c>
      <c r="AC110" s="3">
        <f t="shared" si="25"/>
        <v>-35767.082439487458</v>
      </c>
      <c r="AD110" s="3">
        <f t="shared" si="26"/>
        <v>1490613.9922008046</v>
      </c>
      <c r="AE110" s="3">
        <f t="shared" si="27"/>
        <v>1505184.8172487156</v>
      </c>
      <c r="AF110" s="3">
        <f t="shared" si="31"/>
        <v>-60767.082439487458</v>
      </c>
      <c r="AG110" s="3">
        <f t="shared" si="28"/>
        <v>1506410.9573367611</v>
      </c>
      <c r="AH110" s="3">
        <f t="shared" si="29"/>
        <v>0.534753504205152</v>
      </c>
      <c r="AI110" s="3">
        <f t="shared" si="30"/>
        <v>-1.6833858132183924E-2</v>
      </c>
    </row>
    <row r="111" spans="19:35" x14ac:dyDescent="0.3">
      <c r="S111" s="6">
        <v>94</v>
      </c>
      <c r="T111" s="4">
        <f t="shared" si="16"/>
        <v>47</v>
      </c>
      <c r="U111" s="3">
        <f t="shared" si="17"/>
        <v>-1543641.9389748313</v>
      </c>
      <c r="V111" s="3">
        <f t="shared" si="18"/>
        <v>48404.937295796284</v>
      </c>
      <c r="W111" s="3">
        <f t="shared" si="19"/>
        <v>-33419.545237319056</v>
      </c>
      <c r="X111" s="3">
        <f t="shared" si="20"/>
        <v>2636.6786055635025</v>
      </c>
      <c r="Y111" s="3">
        <f t="shared" si="21"/>
        <v>1546919.7333371988</v>
      </c>
      <c r="Z111" s="3">
        <f t="shared" si="22"/>
        <v>-39586.206605812957</v>
      </c>
      <c r="AA111" s="3">
        <f t="shared" si="23"/>
        <v>1547426.1627429815</v>
      </c>
      <c r="AB111" s="3">
        <f t="shared" si="24"/>
        <v>1506919.7333371988</v>
      </c>
      <c r="AC111" s="3">
        <f t="shared" si="25"/>
        <v>-37086.206605812957</v>
      </c>
      <c r="AD111" s="3">
        <f t="shared" si="26"/>
        <v>1507376.021250658</v>
      </c>
      <c r="AE111" s="3">
        <f t="shared" si="27"/>
        <v>1521919.7333371988</v>
      </c>
      <c r="AF111" s="3">
        <f t="shared" si="31"/>
        <v>-62086.206605812957</v>
      </c>
      <c r="AG111" s="3">
        <f t="shared" si="28"/>
        <v>1523185.5999095677</v>
      </c>
      <c r="AH111" s="3">
        <f t="shared" si="29"/>
        <v>0.52309440803729279</v>
      </c>
      <c r="AI111" s="3">
        <f t="shared" si="30"/>
        <v>-1.6737154122482764E-2</v>
      </c>
    </row>
    <row r="112" spans="19:35" x14ac:dyDescent="0.3">
      <c r="S112" s="6">
        <v>95</v>
      </c>
      <c r="T112" s="4">
        <f t="shared" si="16"/>
        <v>47.5</v>
      </c>
      <c r="U112" s="3">
        <f t="shared" si="17"/>
        <v>-1560351.5808198887</v>
      </c>
      <c r="V112" s="3">
        <f t="shared" si="18"/>
        <v>49723.272414289502</v>
      </c>
      <c r="W112" s="3">
        <f t="shared" si="19"/>
        <v>-33394.698252937284</v>
      </c>
      <c r="X112" s="3">
        <f t="shared" si="20"/>
        <v>2635.8835907426846</v>
      </c>
      <c r="Y112" s="3">
        <f t="shared" si="21"/>
        <v>1563641.9389748313</v>
      </c>
      <c r="Z112" s="3">
        <f t="shared" si="22"/>
        <v>-40904.937295796284</v>
      </c>
      <c r="AA112" s="3">
        <f t="shared" si="23"/>
        <v>1564176.8848874294</v>
      </c>
      <c r="AB112" s="3">
        <f t="shared" si="24"/>
        <v>1523641.9389748313</v>
      </c>
      <c r="AC112" s="3">
        <f t="shared" si="25"/>
        <v>-38404.937295796284</v>
      </c>
      <c r="AD112" s="3">
        <f t="shared" si="26"/>
        <v>1524125.8797788578</v>
      </c>
      <c r="AE112" s="3">
        <f t="shared" si="27"/>
        <v>1538641.9389748313</v>
      </c>
      <c r="AF112" s="3">
        <f t="shared" si="31"/>
        <v>-63404.937295796284</v>
      </c>
      <c r="AG112" s="3">
        <f t="shared" si="28"/>
        <v>1539947.792116899</v>
      </c>
      <c r="AH112" s="3">
        <f t="shared" si="29"/>
        <v>0.51182053405605155</v>
      </c>
      <c r="AI112" s="3">
        <f t="shared" si="30"/>
        <v>-1.6635219025460227E-2</v>
      </c>
    </row>
    <row r="113" spans="19:35" x14ac:dyDescent="0.3">
      <c r="S113" s="6">
        <v>96</v>
      </c>
      <c r="T113" s="4">
        <f t="shared" si="16"/>
        <v>48</v>
      </c>
      <c r="U113" s="3">
        <f t="shared" si="17"/>
        <v>-1577048.8019912238</v>
      </c>
      <c r="V113" s="3">
        <f t="shared" si="18"/>
        <v>51041.210050856091</v>
      </c>
      <c r="W113" s="3">
        <f t="shared" si="19"/>
        <v>-33370.130867302592</v>
      </c>
      <c r="X113" s="3">
        <f t="shared" si="20"/>
        <v>2635.0851002294626</v>
      </c>
      <c r="Y113" s="3">
        <f t="shared" si="21"/>
        <v>1580351.5808198887</v>
      </c>
      <c r="Z113" s="3">
        <f t="shared" si="22"/>
        <v>-42223.272414289502</v>
      </c>
      <c r="AA113" s="3">
        <f t="shared" si="23"/>
        <v>1580915.5333961686</v>
      </c>
      <c r="AB113" s="3">
        <f t="shared" si="24"/>
        <v>1540351.5808198887</v>
      </c>
      <c r="AC113" s="3">
        <f t="shared" si="25"/>
        <v>-39723.272414289502</v>
      </c>
      <c r="AD113" s="3">
        <f t="shared" si="26"/>
        <v>1540863.6964071903</v>
      </c>
      <c r="AE113" s="3">
        <f t="shared" si="27"/>
        <v>1555351.5808198887</v>
      </c>
      <c r="AF113" s="3">
        <f t="shared" si="31"/>
        <v>-64723.272414289502</v>
      </c>
      <c r="AG113" s="3">
        <f t="shared" si="28"/>
        <v>1556697.6719809601</v>
      </c>
      <c r="AH113" s="3">
        <f t="shared" si="29"/>
        <v>0.500914936853321</v>
      </c>
      <c r="AI113" s="3">
        <f t="shared" si="30"/>
        <v>-1.6528637880129191E-2</v>
      </c>
    </row>
    <row r="114" spans="19:35" x14ac:dyDescent="0.3">
      <c r="S114" s="6">
        <v>97</v>
      </c>
      <c r="T114" s="4">
        <f t="shared" si="16"/>
        <v>48.5</v>
      </c>
      <c r="U114" s="3">
        <f t="shared" si="17"/>
        <v>-1593733.7421961408</v>
      </c>
      <c r="V114" s="3">
        <f t="shared" si="18"/>
        <v>52358.748468811355</v>
      </c>
      <c r="W114" s="3">
        <f t="shared" si="19"/>
        <v>-33345.836492865208</v>
      </c>
      <c r="X114" s="3">
        <f t="shared" si="20"/>
        <v>2634.2834612922761</v>
      </c>
      <c r="Y114" s="3">
        <f t="shared" si="21"/>
        <v>1597048.8019912238</v>
      </c>
      <c r="Z114" s="3">
        <f t="shared" si="22"/>
        <v>-43541.210050856091</v>
      </c>
      <c r="AA114" s="3">
        <f t="shared" si="23"/>
        <v>1597642.2355816385</v>
      </c>
      <c r="AB114" s="3">
        <f t="shared" si="24"/>
        <v>1557048.8019912238</v>
      </c>
      <c r="AC114" s="3">
        <f t="shared" si="25"/>
        <v>-41041.210050856091</v>
      </c>
      <c r="AD114" s="3">
        <f t="shared" si="26"/>
        <v>1557589.5970071012</v>
      </c>
      <c r="AE114" s="3">
        <f t="shared" si="27"/>
        <v>1572048.8019912238</v>
      </c>
      <c r="AF114" s="3">
        <f t="shared" si="31"/>
        <v>-66041.210050856083</v>
      </c>
      <c r="AG114" s="3">
        <f t="shared" si="28"/>
        <v>1573435.3743535269</v>
      </c>
      <c r="AH114" s="3">
        <f t="shared" si="29"/>
        <v>0.49036159752934294</v>
      </c>
      <c r="AI114" s="3">
        <f t="shared" si="30"/>
        <v>-1.64179450030177E-2</v>
      </c>
    </row>
    <row r="115" spans="19:35" x14ac:dyDescent="0.3">
      <c r="S115" s="6">
        <v>98</v>
      </c>
      <c r="T115" s="4">
        <f t="shared" si="16"/>
        <v>49</v>
      </c>
      <c r="U115" s="3">
        <f t="shared" si="17"/>
        <v>-1610406.5378521741</v>
      </c>
      <c r="V115" s="3">
        <f t="shared" si="18"/>
        <v>53675.88609497124</v>
      </c>
      <c r="W115" s="3">
        <f t="shared" si="19"/>
        <v>-33321.808774586272</v>
      </c>
      <c r="X115" s="3">
        <f t="shared" si="20"/>
        <v>2633.4789819871285</v>
      </c>
      <c r="Y115" s="3">
        <f t="shared" si="21"/>
        <v>1613733.7421961408</v>
      </c>
      <c r="Z115" s="3">
        <f t="shared" si="22"/>
        <v>-44858.748468811355</v>
      </c>
      <c r="AA115" s="3">
        <f t="shared" si="23"/>
        <v>1614357.1160113702</v>
      </c>
      <c r="AB115" s="3">
        <f t="shared" si="24"/>
        <v>1573733.7421961408</v>
      </c>
      <c r="AC115" s="3">
        <f t="shared" si="25"/>
        <v>-42358.748468811355</v>
      </c>
      <c r="AD115" s="3">
        <f t="shared" si="26"/>
        <v>1574303.7047845989</v>
      </c>
      <c r="AE115" s="3">
        <f t="shared" si="27"/>
        <v>1588733.7421961408</v>
      </c>
      <c r="AF115" s="3">
        <f t="shared" si="31"/>
        <v>-67358.748468811362</v>
      </c>
      <c r="AG115" s="3">
        <f t="shared" si="28"/>
        <v>1590161.0310241659</v>
      </c>
      <c r="AH115" s="3">
        <f t="shared" si="29"/>
        <v>0.48014536336163138</v>
      </c>
      <c r="AI115" s="3">
        <f t="shared" si="30"/>
        <v>-1.6303628475151481E-2</v>
      </c>
    </row>
    <row r="116" spans="19:35" x14ac:dyDescent="0.3">
      <c r="S116" s="6">
        <v>99</v>
      </c>
      <c r="T116" s="4">
        <f t="shared" si="16"/>
        <v>49.5</v>
      </c>
      <c r="U116" s="3">
        <f t="shared" si="17"/>
        <v>-1627067.3222031265</v>
      </c>
      <c r="V116" s="3">
        <f t="shared" si="18"/>
        <v>54992.621510057681</v>
      </c>
      <c r="W116" s="3">
        <f t="shared" si="19"/>
        <v>-33298.041579099874</v>
      </c>
      <c r="X116" s="3">
        <f t="shared" si="20"/>
        <v>2632.6719523776082</v>
      </c>
      <c r="Y116" s="3">
        <f t="shared" si="21"/>
        <v>1630406.5378521741</v>
      </c>
      <c r="Z116" s="3">
        <f t="shared" si="22"/>
        <v>-46175.88609497124</v>
      </c>
      <c r="AA116" s="3">
        <f t="shared" si="23"/>
        <v>1631060.2965947546</v>
      </c>
      <c r="AB116" s="3">
        <f t="shared" si="24"/>
        <v>1590406.5378521741</v>
      </c>
      <c r="AC116" s="3">
        <f t="shared" si="25"/>
        <v>-43675.88609497124</v>
      </c>
      <c r="AD116" s="3">
        <f t="shared" si="26"/>
        <v>1591006.1403618527</v>
      </c>
      <c r="AE116" s="3">
        <f t="shared" si="27"/>
        <v>1605406.5378521741</v>
      </c>
      <c r="AF116" s="3">
        <f t="shared" si="31"/>
        <v>-68675.88609497124</v>
      </c>
      <c r="AG116" s="3">
        <f t="shared" si="28"/>
        <v>1606874.7708236116</v>
      </c>
      <c r="AH116" s="3">
        <f t="shared" si="29"/>
        <v>0.47025189201806944</v>
      </c>
      <c r="AI116" s="3">
        <f t="shared" si="30"/>
        <v>-1.6186134204166237E-2</v>
      </c>
    </row>
    <row r="117" spans="19:35" x14ac:dyDescent="0.3">
      <c r="S117" s="6">
        <v>100</v>
      </c>
      <c r="T117" s="4">
        <f t="shared" si="16"/>
        <v>50</v>
      </c>
      <c r="U117" s="3">
        <f t="shared" si="17"/>
        <v>-1643716.2254297035</v>
      </c>
      <c r="V117" s="3">
        <f t="shared" si="18"/>
        <v>56308.953439712939</v>
      </c>
      <c r="W117" s="3">
        <f t="shared" si="19"/>
        <v>-33274.528984498967</v>
      </c>
      <c r="X117" s="3">
        <f t="shared" si="20"/>
        <v>2631.8626456674001</v>
      </c>
      <c r="Y117" s="3">
        <f t="shared" si="21"/>
        <v>1647067.3222031265</v>
      </c>
      <c r="Z117" s="3">
        <f t="shared" si="22"/>
        <v>-47492.621510057681</v>
      </c>
      <c r="AA117" s="3">
        <f t="shared" si="23"/>
        <v>1647751.8966662656</v>
      </c>
      <c r="AB117" s="3">
        <f t="shared" si="24"/>
        <v>1607067.3222031265</v>
      </c>
      <c r="AC117" s="3">
        <f t="shared" si="25"/>
        <v>-44992.621510057681</v>
      </c>
      <c r="AD117" s="3">
        <f t="shared" si="26"/>
        <v>1607697.0218556339</v>
      </c>
      <c r="AE117" s="3">
        <f t="shared" si="27"/>
        <v>1622067.3222031265</v>
      </c>
      <c r="AF117" s="3">
        <f t="shared" si="31"/>
        <v>-69992.621510057681</v>
      </c>
      <c r="AG117" s="3">
        <f t="shared" si="28"/>
        <v>1623576.7197225611</v>
      </c>
      <c r="AH117" s="3">
        <f t="shared" si="29"/>
        <v>0.46066759992656769</v>
      </c>
      <c r="AI117" s="3">
        <f t="shared" si="30"/>
        <v>-1.6065869605035362E-2</v>
      </c>
    </row>
    <row r="118" spans="19:35" x14ac:dyDescent="0.3">
      <c r="S118" s="6">
        <v>101</v>
      </c>
      <c r="T118" s="4">
        <f t="shared" si="16"/>
        <v>50.5</v>
      </c>
      <c r="U118" s="3">
        <f t="shared" si="17"/>
        <v>-1660353.3747550531</v>
      </c>
      <c r="V118" s="3">
        <f t="shared" si="18"/>
        <v>57624.880746079238</v>
      </c>
      <c r="W118" s="3">
        <f t="shared" si="19"/>
        <v>-33251.265270702679</v>
      </c>
      <c r="X118" s="3">
        <f t="shared" si="20"/>
        <v>2631.0513192523458</v>
      </c>
      <c r="Y118" s="3">
        <f t="shared" si="21"/>
        <v>1663716.2254297035</v>
      </c>
      <c r="Z118" s="3">
        <f t="shared" si="22"/>
        <v>-48808.953439712939</v>
      </c>
      <c r="AA118" s="3">
        <f t="shared" si="23"/>
        <v>1664432.0330653156</v>
      </c>
      <c r="AB118" s="3">
        <f t="shared" si="24"/>
        <v>1623716.2254297035</v>
      </c>
      <c r="AC118" s="3">
        <f t="shared" si="25"/>
        <v>-46308.953439712939</v>
      </c>
      <c r="AD118" s="3">
        <f t="shared" si="26"/>
        <v>1624376.4649527415</v>
      </c>
      <c r="AE118" s="3">
        <f t="shared" si="27"/>
        <v>1638716.2254297035</v>
      </c>
      <c r="AF118" s="3">
        <f t="shared" si="31"/>
        <v>-71308.953439712932</v>
      </c>
      <c r="AG118" s="3">
        <f t="shared" si="28"/>
        <v>1640267.0009261423</v>
      </c>
      <c r="AH118" s="3">
        <f t="shared" si="29"/>
        <v>0.45137961445051766</v>
      </c>
      <c r="AI118" s="3">
        <f t="shared" si="30"/>
        <v>-1.594320693808993E-2</v>
      </c>
    </row>
    <row r="119" spans="19:35" x14ac:dyDescent="0.3">
      <c r="S119" s="6">
        <v>102</v>
      </c>
      <c r="T119" s="4">
        <f t="shared" si="16"/>
        <v>51</v>
      </c>
      <c r="U119" s="3">
        <f t="shared" si="17"/>
        <v>-1676978.8945455006</v>
      </c>
      <c r="V119" s="3">
        <f t="shared" si="18"/>
        <v>58940.402419903679</v>
      </c>
      <c r="W119" s="3">
        <f t="shared" si="19"/>
        <v>-33228.244910365705</v>
      </c>
      <c r="X119" s="3">
        <f t="shared" si="20"/>
        <v>2630.2382156985032</v>
      </c>
      <c r="Y119" s="3">
        <f t="shared" si="21"/>
        <v>1680353.3747550531</v>
      </c>
      <c r="Z119" s="3">
        <f t="shared" si="22"/>
        <v>-50124.880746079238</v>
      </c>
      <c r="AA119" s="3">
        <f t="shared" si="23"/>
        <v>1681100.8202129058</v>
      </c>
      <c r="AB119" s="3">
        <f t="shared" si="24"/>
        <v>1640353.3747550531</v>
      </c>
      <c r="AC119" s="3">
        <f t="shared" si="25"/>
        <v>-47624.880746079238</v>
      </c>
      <c r="AD119" s="3">
        <f t="shared" si="26"/>
        <v>1641044.5829825494</v>
      </c>
      <c r="AE119" s="3">
        <f t="shared" si="27"/>
        <v>1655353.3747550531</v>
      </c>
      <c r="AF119" s="3">
        <f t="shared" si="31"/>
        <v>-72624.88074607923</v>
      </c>
      <c r="AG119" s="3">
        <f t="shared" si="28"/>
        <v>1656945.7349642823</v>
      </c>
      <c r="AH119" s="3">
        <f t="shared" si="29"/>
        <v>0.44237572955228566</v>
      </c>
      <c r="AI119" s="3">
        <f t="shared" si="30"/>
        <v>-1.5818486338773183E-2</v>
      </c>
    </row>
    <row r="120" spans="19:35" x14ac:dyDescent="0.3">
      <c r="S120" s="6">
        <v>103</v>
      </c>
      <c r="T120" s="4">
        <f t="shared" si="16"/>
        <v>51.5</v>
      </c>
      <c r="U120" s="3">
        <f t="shared" si="17"/>
        <v>-1693592.9064067511</v>
      </c>
      <c r="V120" s="3">
        <f t="shared" si="18"/>
        <v>60255.517573131343</v>
      </c>
      <c r="W120" s="3">
        <f t="shared" si="19"/>
        <v>-33205.462560293759</v>
      </c>
      <c r="X120" s="3">
        <f t="shared" si="20"/>
        <v>2629.4235636520561</v>
      </c>
      <c r="Y120" s="3">
        <f t="shared" si="21"/>
        <v>1696978.8945455006</v>
      </c>
      <c r="Z120" s="3">
        <f t="shared" si="22"/>
        <v>-51440.402419903679</v>
      </c>
      <c r="AA120" s="3">
        <f t="shared" si="23"/>
        <v>1697758.3701852248</v>
      </c>
      <c r="AB120" s="3">
        <f t="shared" si="24"/>
        <v>1656978.8945455006</v>
      </c>
      <c r="AC120" s="3">
        <f t="shared" si="25"/>
        <v>-48940.402419903679</v>
      </c>
      <c r="AD120" s="3">
        <f t="shared" si="26"/>
        <v>1657701.486986801</v>
      </c>
      <c r="AE120" s="3">
        <f t="shared" si="27"/>
        <v>1671978.8945455006</v>
      </c>
      <c r="AF120" s="3">
        <f t="shared" si="31"/>
        <v>-73940.402419903679</v>
      </c>
      <c r="AG120" s="3">
        <f t="shared" si="28"/>
        <v>1673613.0397781953</v>
      </c>
      <c r="AH120" s="3">
        <f t="shared" si="29"/>
        <v>0.43364436465654921</v>
      </c>
      <c r="AI120" s="3">
        <f t="shared" si="30"/>
        <v>-1.5692018569833932E-2</v>
      </c>
    </row>
    <row r="121" spans="19:35" x14ac:dyDescent="0.3">
      <c r="S121" s="6">
        <v>104</v>
      </c>
      <c r="T121" s="4">
        <f t="shared" si="16"/>
        <v>52</v>
      </c>
      <c r="U121" s="3">
        <f t="shared" si="17"/>
        <v>-1710195.5292758069</v>
      </c>
      <c r="V121" s="3">
        <f t="shared" si="18"/>
        <v>61570.225431952727</v>
      </c>
      <c r="W121" s="3">
        <f t="shared" si="19"/>
        <v>-33182.91305333162</v>
      </c>
      <c r="X121" s="3">
        <f t="shared" si="20"/>
        <v>2628.6075786864249</v>
      </c>
      <c r="Y121" s="3">
        <f t="shared" si="21"/>
        <v>1713592.9064067511</v>
      </c>
      <c r="Z121" s="3">
        <f t="shared" si="22"/>
        <v>-52755.517573131343</v>
      </c>
      <c r="AA121" s="3">
        <f t="shared" si="23"/>
        <v>1714404.7927843488</v>
      </c>
      <c r="AB121" s="3">
        <f t="shared" si="24"/>
        <v>1673592.9064067511</v>
      </c>
      <c r="AC121" s="3">
        <f t="shared" si="25"/>
        <v>-50255.517573131343</v>
      </c>
      <c r="AD121" s="3">
        <f t="shared" si="26"/>
        <v>1674347.2857867749</v>
      </c>
      <c r="AE121" s="3">
        <f t="shared" si="27"/>
        <v>1688592.9064067511</v>
      </c>
      <c r="AF121" s="3">
        <f t="shared" si="31"/>
        <v>-75255.517573131336</v>
      </c>
      <c r="AG121" s="3">
        <f t="shared" si="28"/>
        <v>1690269.0308032029</v>
      </c>
      <c r="AH121" s="3">
        <f t="shared" si="29"/>
        <v>0.42517452645181941</v>
      </c>
      <c r="AI121" s="3">
        <f t="shared" si="30"/>
        <v>-1.5564087523362621E-2</v>
      </c>
    </row>
    <row r="122" spans="19:35" x14ac:dyDescent="0.3">
      <c r="S122" s="6">
        <v>105</v>
      </c>
      <c r="T122" s="4">
        <f t="shared" si="16"/>
        <v>52.5</v>
      </c>
      <c r="U122" s="3">
        <f t="shared" si="17"/>
        <v>-1726786.8795088409</v>
      </c>
      <c r="V122" s="3">
        <f t="shared" si="18"/>
        <v>62884.52533027406</v>
      </c>
      <c r="W122" s="3">
        <f t="shared" si="19"/>
        <v>-33160.591390692898</v>
      </c>
      <c r="X122" s="3">
        <f t="shared" si="20"/>
        <v>2627.7904640914485</v>
      </c>
      <c r="Y122" s="3">
        <f t="shared" si="21"/>
        <v>1730195.5292758069</v>
      </c>
      <c r="Z122" s="3">
        <f t="shared" si="22"/>
        <v>-54070.225431952727</v>
      </c>
      <c r="AA122" s="3">
        <f t="shared" si="23"/>
        <v>1731040.1956061712</v>
      </c>
      <c r="AB122" s="3">
        <f t="shared" si="24"/>
        <v>1690195.5292758069</v>
      </c>
      <c r="AC122" s="3">
        <f t="shared" si="25"/>
        <v>-51570.225431952727</v>
      </c>
      <c r="AD122" s="3">
        <f t="shared" si="26"/>
        <v>1690982.0860479355</v>
      </c>
      <c r="AE122" s="3">
        <f t="shared" si="27"/>
        <v>1705195.5292758069</v>
      </c>
      <c r="AF122" s="3">
        <f t="shared" si="31"/>
        <v>-76570.225431952727</v>
      </c>
      <c r="AG122" s="3">
        <f t="shared" si="28"/>
        <v>1706913.8210480632</v>
      </c>
      <c r="AH122" s="3">
        <f t="shared" si="29"/>
        <v>0.41695577339235057</v>
      </c>
      <c r="AI122" s="3">
        <f t="shared" si="30"/>
        <v>-1.5434952497155213E-2</v>
      </c>
    </row>
    <row r="123" spans="19:35" x14ac:dyDescent="0.3">
      <c r="S123" s="6">
        <v>106</v>
      </c>
      <c r="T123" s="4">
        <f t="shared" si="16"/>
        <v>53</v>
      </c>
      <c r="U123" s="3">
        <f t="shared" si="17"/>
        <v>-1743367.070965244</v>
      </c>
      <c r="V123" s="3">
        <f t="shared" si="18"/>
        <v>64198.416703581657</v>
      </c>
      <c r="W123" s="3">
        <f t="shared" si="19"/>
        <v>-33138.492734703104</v>
      </c>
      <c r="X123" s="3">
        <f t="shared" si="20"/>
        <v>2626.9724116090993</v>
      </c>
      <c r="Y123" s="3">
        <f t="shared" si="21"/>
        <v>1746786.8795088409</v>
      </c>
      <c r="Z123" s="3">
        <f t="shared" si="22"/>
        <v>-55384.52533027406</v>
      </c>
      <c r="AA123" s="3">
        <f t="shared" si="23"/>
        <v>1747664.684105705</v>
      </c>
      <c r="AB123" s="3">
        <f t="shared" si="24"/>
        <v>1706786.8795088409</v>
      </c>
      <c r="AC123" s="3">
        <f t="shared" si="25"/>
        <v>-52884.52533027406</v>
      </c>
      <c r="AD123" s="3">
        <f t="shared" si="26"/>
        <v>1707605.9923421838</v>
      </c>
      <c r="AE123" s="3">
        <f t="shared" si="27"/>
        <v>1721786.8795088409</v>
      </c>
      <c r="AF123" s="3">
        <f t="shared" si="31"/>
        <v>-77884.52533027406</v>
      </c>
      <c r="AG123" s="3">
        <f t="shared" si="28"/>
        <v>1723547.5211710043</v>
      </c>
      <c r="AH123" s="3">
        <f t="shared" si="29"/>
        <v>0.40897818268411384</v>
      </c>
      <c r="AI123" s="3">
        <f t="shared" si="30"/>
        <v>-1.5304850267306103E-2</v>
      </c>
    </row>
    <row r="124" spans="19:35" x14ac:dyDescent="0.3">
      <c r="S124" s="6">
        <v>107</v>
      </c>
      <c r="T124" s="4">
        <f t="shared" si="16"/>
        <v>53.5</v>
      </c>
      <c r="U124" s="3">
        <f t="shared" si="17"/>
        <v>-1759936.2150880499</v>
      </c>
      <c r="V124" s="3">
        <f t="shared" si="18"/>
        <v>65511.899083173637</v>
      </c>
      <c r="W124" s="3">
        <f t="shared" si="19"/>
        <v>-33116.612401929502</v>
      </c>
      <c r="X124" s="3">
        <f t="shared" si="20"/>
        <v>2626.1536021197985</v>
      </c>
      <c r="Y124" s="3">
        <f t="shared" si="21"/>
        <v>1763367.070965244</v>
      </c>
      <c r="Z124" s="3">
        <f t="shared" si="22"/>
        <v>-56698.416703581657</v>
      </c>
      <c r="AA124" s="3">
        <f t="shared" si="23"/>
        <v>1764278.3616598705</v>
      </c>
      <c r="AB124" s="3">
        <f t="shared" si="24"/>
        <v>1723367.070965244</v>
      </c>
      <c r="AC124" s="3">
        <f t="shared" si="25"/>
        <v>-54198.416703581657</v>
      </c>
      <c r="AD124" s="3">
        <f t="shared" si="26"/>
        <v>1724219.1072078105</v>
      </c>
      <c r="AE124" s="3">
        <f t="shared" si="27"/>
        <v>1738367.070965244</v>
      </c>
      <c r="AF124" s="3">
        <f t="shared" si="31"/>
        <v>-79198.416703581664</v>
      </c>
      <c r="AG124" s="3">
        <f t="shared" si="28"/>
        <v>1740170.2395526236</v>
      </c>
      <c r="AH124" s="3">
        <f t="shared" si="29"/>
        <v>0.40123231955780303</v>
      </c>
      <c r="AI124" s="3">
        <f t="shared" si="30"/>
        <v>-1.5173996976638838E-2</v>
      </c>
    </row>
    <row r="125" spans="19:35" x14ac:dyDescent="0.3">
      <c r="S125" s="6">
        <v>108</v>
      </c>
      <c r="T125" s="4">
        <f t="shared" si="16"/>
        <v>54</v>
      </c>
      <c r="U125" s="3">
        <f t="shared" si="17"/>
        <v>-1776494.4209809348</v>
      </c>
      <c r="V125" s="3">
        <f t="shared" si="18"/>
        <v>66824.9720907343</v>
      </c>
      <c r="W125" s="3">
        <f t="shared" si="19"/>
        <v>-33094.945856673381</v>
      </c>
      <c r="X125" s="3">
        <f t="shared" si="20"/>
        <v>2625.3342062830602</v>
      </c>
      <c r="Y125" s="3">
        <f t="shared" si="21"/>
        <v>1779936.2150880499</v>
      </c>
      <c r="Z125" s="3">
        <f t="shared" si="22"/>
        <v>-58011.899083173637</v>
      </c>
      <c r="AA125" s="3">
        <f t="shared" si="23"/>
        <v>1780881.3296278922</v>
      </c>
      <c r="AB125" s="3">
        <f t="shared" si="24"/>
        <v>1739936.2150880499</v>
      </c>
      <c r="AC125" s="3">
        <f t="shared" si="25"/>
        <v>-55511.899083173637</v>
      </c>
      <c r="AD125" s="3">
        <f t="shared" si="26"/>
        <v>1740821.5312072483</v>
      </c>
      <c r="AE125" s="3">
        <f t="shared" si="27"/>
        <v>1754936.2150880499</v>
      </c>
      <c r="AF125" s="3">
        <f t="shared" si="31"/>
        <v>-80511.89908317363</v>
      </c>
      <c r="AG125" s="3">
        <f t="shared" si="28"/>
        <v>1756782.0823658092</v>
      </c>
      <c r="AH125" s="3">
        <f t="shared" si="29"/>
        <v>0.39370920864931591</v>
      </c>
      <c r="AI125" s="3">
        <f t="shared" si="30"/>
        <v>-1.5042589856551769E-2</v>
      </c>
    </row>
    <row r="126" spans="19:35" x14ac:dyDescent="0.3">
      <c r="S126" s="6">
        <v>109</v>
      </c>
      <c r="T126" s="4">
        <f t="shared" si="16"/>
        <v>54.5</v>
      </c>
      <c r="U126" s="3">
        <f t="shared" si="17"/>
        <v>-1793041.7954819691</v>
      </c>
      <c r="V126" s="3">
        <f t="shared" si="18"/>
        <v>68137.635433228366</v>
      </c>
      <c r="W126" s="3">
        <f t="shared" si="19"/>
        <v>-33073.488704801995</v>
      </c>
      <c r="X126" s="3">
        <f t="shared" si="20"/>
        <v>2624.514385135878</v>
      </c>
      <c r="Y126" s="3">
        <f t="shared" si="21"/>
        <v>1796494.4209809348</v>
      </c>
      <c r="Z126" s="3">
        <f t="shared" si="22"/>
        <v>-59324.9720907343</v>
      </c>
      <c r="AA126" s="3">
        <f t="shared" si="23"/>
        <v>1797473.6874094126</v>
      </c>
      <c r="AB126" s="3">
        <f t="shared" si="24"/>
        <v>1756494.4209809348</v>
      </c>
      <c r="AC126" s="3">
        <f t="shared" si="25"/>
        <v>-56824.9720907343</v>
      </c>
      <c r="AD126" s="3">
        <f t="shared" si="26"/>
        <v>1757413.3629827281</v>
      </c>
      <c r="AE126" s="3">
        <f t="shared" si="27"/>
        <v>1771494.4209809348</v>
      </c>
      <c r="AF126" s="3">
        <f t="shared" si="31"/>
        <v>-81824.9720907343</v>
      </c>
      <c r="AG126" s="3">
        <f t="shared" si="28"/>
        <v>1773383.1536428405</v>
      </c>
      <c r="AH126" s="3">
        <f t="shared" si="29"/>
        <v>0.38640030732382208</v>
      </c>
      <c r="AI126" s="3">
        <f t="shared" si="30"/>
        <v>-1.4910808798046907E-2</v>
      </c>
    </row>
    <row r="127" spans="19:35" x14ac:dyDescent="0.3">
      <c r="S127" s="6">
        <v>110</v>
      </c>
      <c r="T127" s="4">
        <f t="shared" si="16"/>
        <v>55</v>
      </c>
      <c r="U127" s="3">
        <f t="shared" si="17"/>
        <v>-1809578.4432342933</v>
      </c>
      <c r="V127" s="3">
        <f t="shared" si="18"/>
        <v>69449.888898094097</v>
      </c>
      <c r="W127" s="3">
        <f t="shared" si="19"/>
        <v>-33052.236687899189</v>
      </c>
      <c r="X127" s="3">
        <f t="shared" si="20"/>
        <v>2623.6942906519853</v>
      </c>
      <c r="Y127" s="3">
        <f t="shared" si="21"/>
        <v>1813041.7954819691</v>
      </c>
      <c r="Z127" s="3">
        <f t="shared" si="22"/>
        <v>-60637.635433228366</v>
      </c>
      <c r="AA127" s="3">
        <f t="shared" si="23"/>
        <v>1814055.5325004291</v>
      </c>
      <c r="AB127" s="3">
        <f t="shared" si="24"/>
        <v>1773041.7954819691</v>
      </c>
      <c r="AC127" s="3">
        <f t="shared" si="25"/>
        <v>-58137.635433228366</v>
      </c>
      <c r="AD127" s="3">
        <f t="shared" si="26"/>
        <v>1773994.6993099195</v>
      </c>
      <c r="AE127" s="3">
        <f t="shared" si="27"/>
        <v>1788041.7954819691</v>
      </c>
      <c r="AF127" s="3">
        <f t="shared" si="31"/>
        <v>-83137.635433228366</v>
      </c>
      <c r="AG127" s="3">
        <f t="shared" si="28"/>
        <v>1789973.5553398023</v>
      </c>
      <c r="AH127" s="3">
        <f t="shared" si="29"/>
        <v>0.37929748079380315</v>
      </c>
      <c r="AI127" s="3">
        <f t="shared" si="30"/>
        <v>-1.4778817786105427E-2</v>
      </c>
    </row>
    <row r="128" spans="19:35" x14ac:dyDescent="0.3">
      <c r="S128" s="6">
        <v>111</v>
      </c>
      <c r="T128" s="4">
        <f t="shared" si="16"/>
        <v>55.5</v>
      </c>
      <c r="U128" s="3">
        <f t="shared" si="17"/>
        <v>-1826104.4667538726</v>
      </c>
      <c r="V128" s="3">
        <f t="shared" si="18"/>
        <v>70761.732348715654</v>
      </c>
      <c r="W128" s="3">
        <f t="shared" si="19"/>
        <v>-33031.185677715133</v>
      </c>
      <c r="X128" s="3">
        <f t="shared" si="20"/>
        <v>2622.8740662648565</v>
      </c>
      <c r="Y128" s="3">
        <f t="shared" si="21"/>
        <v>1829578.4432342933</v>
      </c>
      <c r="Z128" s="3">
        <f t="shared" si="22"/>
        <v>-61949.888898094097</v>
      </c>
      <c r="AA128" s="3">
        <f t="shared" si="23"/>
        <v>1830626.9605471527</v>
      </c>
      <c r="AB128" s="3">
        <f t="shared" si="24"/>
        <v>1789578.4432342933</v>
      </c>
      <c r="AC128" s="3">
        <f t="shared" si="25"/>
        <v>-59449.888898094097</v>
      </c>
      <c r="AD128" s="3">
        <f t="shared" si="26"/>
        <v>1790565.6351496507</v>
      </c>
      <c r="AE128" s="3">
        <f t="shared" si="27"/>
        <v>1804578.4432342933</v>
      </c>
      <c r="AF128" s="3">
        <f t="shared" si="31"/>
        <v>-84449.888898094097</v>
      </c>
      <c r="AG128" s="3">
        <f t="shared" si="28"/>
        <v>1806553.3873984476</v>
      </c>
      <c r="AH128" s="3">
        <f t="shared" si="29"/>
        <v>0.3723929788942551</v>
      </c>
      <c r="AI128" s="3">
        <f t="shared" si="30"/>
        <v>-1.4646766210140043E-2</v>
      </c>
    </row>
    <row r="129" spans="19:35" x14ac:dyDescent="0.3">
      <c r="S129" s="6">
        <v>112</v>
      </c>
      <c r="T129" s="4">
        <f t="shared" si="16"/>
        <v>56</v>
      </c>
      <c r="U129" s="3">
        <f t="shared" si="17"/>
        <v>-1842619.9664944855</v>
      </c>
      <c r="V129" s="3">
        <f t="shared" si="18"/>
        <v>72073.165720156539</v>
      </c>
      <c r="W129" s="3">
        <f t="shared" si="19"/>
        <v>-33010.331670897052</v>
      </c>
      <c r="X129" s="3">
        <f t="shared" si="20"/>
        <v>2622.0538473570887</v>
      </c>
      <c r="Y129" s="3">
        <f t="shared" si="21"/>
        <v>1846104.4667538726</v>
      </c>
      <c r="Z129" s="3">
        <f t="shared" si="22"/>
        <v>-63261.732348715654</v>
      </c>
      <c r="AA129" s="3">
        <f t="shared" si="23"/>
        <v>1847188.0653978796</v>
      </c>
      <c r="AB129" s="3">
        <f t="shared" si="24"/>
        <v>1806104.4667538726</v>
      </c>
      <c r="AC129" s="3">
        <f t="shared" si="25"/>
        <v>-60761.732348715654</v>
      </c>
      <c r="AD129" s="3">
        <f t="shared" si="26"/>
        <v>1807126.2636977825</v>
      </c>
      <c r="AE129" s="3">
        <f t="shared" si="27"/>
        <v>1821104.4667538726</v>
      </c>
      <c r="AF129" s="3">
        <f t="shared" si="31"/>
        <v>-85761.732348715654</v>
      </c>
      <c r="AG129" s="3">
        <f t="shared" si="28"/>
        <v>1823122.7478056324</v>
      </c>
      <c r="AH129" s="3">
        <f t="shared" si="29"/>
        <v>0.36567941438990259</v>
      </c>
      <c r="AI129" s="3">
        <f t="shared" si="30"/>
        <v>-1.4514790061980049E-2</v>
      </c>
    </row>
    <row r="130" spans="19:35" x14ac:dyDescent="0.3">
      <c r="S130" s="6">
        <v>113</v>
      </c>
      <c r="T130" s="4">
        <f t="shared" si="16"/>
        <v>56.5</v>
      </c>
      <c r="U130" s="3">
        <f t="shared" si="17"/>
        <v>-1859125.0409100805</v>
      </c>
      <c r="V130" s="3">
        <f t="shared" si="18"/>
        <v>73384.18901513757</v>
      </c>
      <c r="W130" s="3">
        <f t="shared" si="19"/>
        <v>-32989.670783984024</v>
      </c>
      <c r="X130" s="3">
        <f t="shared" si="20"/>
        <v>2621.2337617185867</v>
      </c>
      <c r="Y130" s="3">
        <f t="shared" si="21"/>
        <v>1862619.9664944855</v>
      </c>
      <c r="Z130" s="3">
        <f t="shared" si="22"/>
        <v>-64573.165720156539</v>
      </c>
      <c r="AA130" s="3">
        <f t="shared" si="23"/>
        <v>1863738.9391529709</v>
      </c>
      <c r="AB130" s="3">
        <f t="shared" si="24"/>
        <v>1822619.9664944855</v>
      </c>
      <c r="AC130" s="3">
        <f t="shared" si="25"/>
        <v>-62073.165720156539</v>
      </c>
      <c r="AD130" s="3">
        <f t="shared" si="26"/>
        <v>1823676.6764333204</v>
      </c>
      <c r="AE130" s="3">
        <f t="shared" si="27"/>
        <v>1837619.9664944855</v>
      </c>
      <c r="AF130" s="3">
        <f t="shared" si="31"/>
        <v>-87073.165720156539</v>
      </c>
      <c r="AG130" s="3">
        <f t="shared" si="28"/>
        <v>1839681.7326504397</v>
      </c>
      <c r="AH130" s="3">
        <f t="shared" si="29"/>
        <v>0.35914974269982536</v>
      </c>
      <c r="AI130" s="3">
        <f t="shared" si="30"/>
        <v>-1.4383013031705822E-2</v>
      </c>
    </row>
    <row r="131" spans="19:35" x14ac:dyDescent="0.3">
      <c r="S131" s="6">
        <v>114</v>
      </c>
      <c r="T131" s="4">
        <f t="shared" si="16"/>
        <v>57</v>
      </c>
      <c r="U131" s="3">
        <f t="shared" si="17"/>
        <v>-1875619.7865146368</v>
      </c>
      <c r="V131" s="3">
        <f t="shared" si="18"/>
        <v>74694.802300243609</v>
      </c>
      <c r="W131" s="3">
        <f t="shared" si="19"/>
        <v>-32969.199248650133</v>
      </c>
      <c r="X131" s="3">
        <f t="shared" si="20"/>
        <v>2620.4139299757794</v>
      </c>
      <c r="Y131" s="3">
        <f t="shared" si="21"/>
        <v>1879125.0409100805</v>
      </c>
      <c r="Z131" s="3">
        <f t="shared" si="22"/>
        <v>-65884.18901513757</v>
      </c>
      <c r="AA131" s="3">
        <f t="shared" si="23"/>
        <v>1880279.6722130182</v>
      </c>
      <c r="AB131" s="3">
        <f t="shared" si="24"/>
        <v>1839125.0409100805</v>
      </c>
      <c r="AC131" s="3">
        <f t="shared" si="25"/>
        <v>-63384.18901513757</v>
      </c>
      <c r="AD131" s="3">
        <f t="shared" si="26"/>
        <v>1840216.9631648362</v>
      </c>
      <c r="AE131" s="3">
        <f t="shared" si="27"/>
        <v>1854125.0409100805</v>
      </c>
      <c r="AF131" s="3">
        <f t="shared" si="31"/>
        <v>-88384.18901513757</v>
      </c>
      <c r="AG131" s="3">
        <f t="shared" si="28"/>
        <v>1856230.4361791052</v>
      </c>
      <c r="AH131" s="3">
        <f t="shared" si="29"/>
        <v>0.35279724293445258</v>
      </c>
      <c r="AI131" s="3">
        <f t="shared" si="30"/>
        <v>-1.4251547510632819E-2</v>
      </c>
    </row>
    <row r="132" spans="19:35" x14ac:dyDescent="0.3">
      <c r="S132" s="6">
        <v>115</v>
      </c>
      <c r="T132" s="4">
        <f t="shared" si="16"/>
        <v>57.5</v>
      </c>
      <c r="U132" s="3">
        <f t="shared" si="17"/>
        <v>-1892104.2979396512</v>
      </c>
      <c r="V132" s="3">
        <f t="shared" si="18"/>
        <v>76005.005702344613</v>
      </c>
      <c r="W132" s="3">
        <f t="shared" si="19"/>
        <v>-32948.913407181404</v>
      </c>
      <c r="X132" s="3">
        <f t="shared" si="20"/>
        <v>2619.5944659939182</v>
      </c>
      <c r="Y132" s="3">
        <f t="shared" si="21"/>
        <v>1895619.7865146368</v>
      </c>
      <c r="Z132" s="3">
        <f t="shared" si="22"/>
        <v>-67194.802300243609</v>
      </c>
      <c r="AA132" s="3">
        <f t="shared" si="23"/>
        <v>1896810.353325278</v>
      </c>
      <c r="AB132" s="3">
        <f t="shared" si="24"/>
        <v>1855619.7865146368</v>
      </c>
      <c r="AC132" s="3">
        <f t="shared" si="25"/>
        <v>-64694.802300243609</v>
      </c>
      <c r="AD132" s="3">
        <f t="shared" si="26"/>
        <v>1856747.2120752716</v>
      </c>
      <c r="AE132" s="3">
        <f t="shared" si="27"/>
        <v>1870619.7865146368</v>
      </c>
      <c r="AF132" s="3">
        <f t="shared" si="31"/>
        <v>-89694.802300243609</v>
      </c>
      <c r="AG132" s="3">
        <f t="shared" si="28"/>
        <v>1872768.9508478469</v>
      </c>
      <c r="AH132" s="3">
        <f t="shared" si="29"/>
        <v>0.3466155001485729</v>
      </c>
      <c r="AI132" s="3">
        <f t="shared" si="30"/>
        <v>-1.4120495509835353E-2</v>
      </c>
    </row>
    <row r="133" spans="19:35" x14ac:dyDescent="0.3">
      <c r="S133" s="6">
        <v>116</v>
      </c>
      <c r="T133" s="4">
        <f t="shared" si="16"/>
        <v>58</v>
      </c>
      <c r="U133" s="3">
        <f t="shared" si="17"/>
        <v>-1908578.6679893669</v>
      </c>
      <c r="V133" s="3">
        <f t="shared" si="18"/>
        <v>77314.799405217695</v>
      </c>
      <c r="W133" s="3">
        <f t="shared" si="19"/>
        <v>-32928.80970817279</v>
      </c>
      <c r="X133" s="3">
        <f t="shared" si="20"/>
        <v>2618.7754772543476</v>
      </c>
      <c r="Y133" s="3">
        <f t="shared" si="21"/>
        <v>1912104.2979396512</v>
      </c>
      <c r="Z133" s="3">
        <f t="shared" si="22"/>
        <v>-68505.005702344613</v>
      </c>
      <c r="AA133" s="3">
        <f t="shared" si="23"/>
        <v>1913331.069628454</v>
      </c>
      <c r="AB133" s="3">
        <f t="shared" si="24"/>
        <v>1872104.2979396512</v>
      </c>
      <c r="AC133" s="3">
        <f t="shared" si="25"/>
        <v>-66005.005702344613</v>
      </c>
      <c r="AD133" s="3">
        <f t="shared" si="26"/>
        <v>1873267.5097651912</v>
      </c>
      <c r="AE133" s="3">
        <f t="shared" si="27"/>
        <v>1887104.2979396512</v>
      </c>
      <c r="AF133" s="3">
        <f t="shared" si="31"/>
        <v>-91005.005702344613</v>
      </c>
      <c r="AG133" s="3">
        <f t="shared" si="28"/>
        <v>1889297.3673736984</v>
      </c>
      <c r="AH133" s="3">
        <f t="shared" si="29"/>
        <v>0.3405983887218898</v>
      </c>
      <c r="AI133" s="3">
        <f t="shared" si="30"/>
        <v>-1.3989949501786293E-2</v>
      </c>
    </row>
    <row r="134" spans="19:35" x14ac:dyDescent="0.3">
      <c r="S134" s="6">
        <v>117</v>
      </c>
      <c r="T134" s="4">
        <f t="shared" si="16"/>
        <v>58.5</v>
      </c>
      <c r="U134" s="3">
        <f t="shared" si="17"/>
        <v>-1925042.9876938562</v>
      </c>
      <c r="V134" s="3">
        <f t="shared" si="18"/>
        <v>78624.183646357502</v>
      </c>
      <c r="W134" s="3">
        <f t="shared" si="19"/>
        <v>-32908.884702432559</v>
      </c>
      <c r="X134" s="3">
        <f t="shared" si="20"/>
        <v>2617.9570652084931</v>
      </c>
      <c r="Y134" s="3">
        <f t="shared" si="21"/>
        <v>1928578.6679893669</v>
      </c>
      <c r="Z134" s="3">
        <f t="shared" si="22"/>
        <v>-69814.799405217695</v>
      </c>
      <c r="AA134" s="3">
        <f t="shared" si="23"/>
        <v>1929841.9066958907</v>
      </c>
      <c r="AB134" s="3">
        <f t="shared" si="24"/>
        <v>1888578.6679893669</v>
      </c>
      <c r="AC134" s="3">
        <f t="shared" si="25"/>
        <v>-67314.799405217695</v>
      </c>
      <c r="AD134" s="3">
        <f t="shared" si="26"/>
        <v>1889777.9412945469</v>
      </c>
      <c r="AE134" s="3">
        <f t="shared" si="27"/>
        <v>1903578.6679893669</v>
      </c>
      <c r="AF134" s="3">
        <f t="shared" si="31"/>
        <v>-92314.799405217695</v>
      </c>
      <c r="AG134" s="3">
        <f t="shared" si="28"/>
        <v>1905815.7747834385</v>
      </c>
      <c r="AH134" s="3">
        <f t="shared" si="29"/>
        <v>0.33474005678589414</v>
      </c>
      <c r="AI134" s="3">
        <f t="shared" si="30"/>
        <v>-1.3859993191961965E-2</v>
      </c>
    </row>
    <row r="135" spans="19:35" x14ac:dyDescent="0.3">
      <c r="S135" s="6">
        <v>118</v>
      </c>
      <c r="T135" s="4">
        <f t="shared" si="16"/>
        <v>59</v>
      </c>
      <c r="U135" s="3">
        <f t="shared" si="17"/>
        <v>-1941497.3463600583</v>
      </c>
      <c r="V135" s="3">
        <f t="shared" si="18"/>
        <v>79933.15871396345</v>
      </c>
      <c r="W135" s="3">
        <f t="shared" si="19"/>
        <v>-32889.13503908219</v>
      </c>
      <c r="X135" s="3">
        <f t="shared" si="20"/>
        <v>2617.1393256101674</v>
      </c>
      <c r="Y135" s="3">
        <f t="shared" si="21"/>
        <v>1945042.9876938562</v>
      </c>
      <c r="Z135" s="3">
        <f t="shared" si="22"/>
        <v>-71124.183646357502</v>
      </c>
      <c r="AA135" s="3">
        <f t="shared" si="23"/>
        <v>1946342.948577255</v>
      </c>
      <c r="AB135" s="3">
        <f t="shared" si="24"/>
        <v>1905042.9876938562</v>
      </c>
      <c r="AC135" s="3">
        <f t="shared" si="25"/>
        <v>-68624.183646357502</v>
      </c>
      <c r="AD135" s="3">
        <f t="shared" si="26"/>
        <v>1906278.5902230197</v>
      </c>
      <c r="AE135" s="3">
        <f t="shared" si="27"/>
        <v>1920042.9876938562</v>
      </c>
      <c r="AF135" s="3">
        <f t="shared" si="31"/>
        <v>-93624.183646357502</v>
      </c>
      <c r="AG135" s="3">
        <f t="shared" si="28"/>
        <v>1922324.260460705</v>
      </c>
      <c r="AH135" s="3">
        <f t="shared" si="29"/>
        <v>0.32903491162224585</v>
      </c>
      <c r="AI135" s="3">
        <f t="shared" si="30"/>
        <v>-1.3730702226602463E-2</v>
      </c>
    </row>
    <row r="136" spans="19:35" x14ac:dyDescent="0.3">
      <c r="S136" s="6">
        <v>119</v>
      </c>
      <c r="T136" s="4">
        <f t="shared" si="16"/>
        <v>59.5</v>
      </c>
      <c r="U136" s="3">
        <f t="shared" si="17"/>
        <v>-1957941.8316208716</v>
      </c>
      <c r="V136" s="3">
        <f t="shared" si="18"/>
        <v>81241.724944092974</v>
      </c>
      <c r="W136" s="3">
        <f t="shared" si="19"/>
        <v>-32869.557461840668</v>
      </c>
      <c r="X136" s="3">
        <f t="shared" si="20"/>
        <v>2616.3223488276844</v>
      </c>
      <c r="Y136" s="3">
        <f t="shared" si="21"/>
        <v>1961497.3463600583</v>
      </c>
      <c r="Z136" s="3">
        <f t="shared" si="22"/>
        <v>-72433.15871396345</v>
      </c>
      <c r="AA136" s="3">
        <f t="shared" si="23"/>
        <v>1962834.2778387666</v>
      </c>
      <c r="AB136" s="3">
        <f t="shared" si="24"/>
        <v>1921497.3463600583</v>
      </c>
      <c r="AC136" s="3">
        <f t="shared" si="25"/>
        <v>-69933.15871396345</v>
      </c>
      <c r="AD136" s="3">
        <f t="shared" si="26"/>
        <v>1922769.5386489921</v>
      </c>
      <c r="AE136" s="3">
        <f t="shared" si="27"/>
        <v>1936497.3463600583</v>
      </c>
      <c r="AF136" s="3">
        <f t="shared" si="31"/>
        <v>-94933.15871396345</v>
      </c>
      <c r="AG136" s="3">
        <f t="shared" si="28"/>
        <v>1938822.9101913765</v>
      </c>
      <c r="AH136" s="3">
        <f t="shared" si="29"/>
        <v>0.32347760596397745</v>
      </c>
      <c r="AI136" s="3">
        <f t="shared" si="30"/>
        <v>-1.3602144842237693E-2</v>
      </c>
    </row>
    <row r="137" spans="19:35" x14ac:dyDescent="0.3">
      <c r="S137" s="6">
        <v>120</v>
      </c>
      <c r="T137" s="4">
        <f t="shared" si="16"/>
        <v>60</v>
      </c>
      <c r="U137" s="3">
        <f t="shared" si="17"/>
        <v>-1974376.5294823903</v>
      </c>
      <c r="V137" s="3">
        <f t="shared" si="18"/>
        <v>82549.882717970599</v>
      </c>
      <c r="W137" s="3">
        <f t="shared" si="19"/>
        <v>-32850.14880548283</v>
      </c>
      <c r="X137" s="3">
        <f t="shared" si="20"/>
        <v>2615.5062201371502</v>
      </c>
      <c r="Y137" s="3">
        <f t="shared" si="21"/>
        <v>1977941.8316208716</v>
      </c>
      <c r="Z137" s="3">
        <f t="shared" si="22"/>
        <v>-73741.724944092974</v>
      </c>
      <c r="AA137" s="3">
        <f t="shared" si="23"/>
        <v>1979315.9756020408</v>
      </c>
      <c r="AB137" s="3">
        <f t="shared" si="24"/>
        <v>1937941.8316208716</v>
      </c>
      <c r="AC137" s="3">
        <f t="shared" si="25"/>
        <v>-71241.724944092974</v>
      </c>
      <c r="AD137" s="3">
        <f t="shared" si="26"/>
        <v>1939250.8672472131</v>
      </c>
      <c r="AE137" s="3">
        <f t="shared" si="27"/>
        <v>1952941.8316208716</v>
      </c>
      <c r="AF137" s="3">
        <f t="shared" si="31"/>
        <v>-96241.724944092974</v>
      </c>
      <c r="AG137" s="3">
        <f t="shared" si="28"/>
        <v>1955311.8082072993</v>
      </c>
      <c r="AH137" s="3">
        <f t="shared" si="29"/>
        <v>0.3180630251360903</v>
      </c>
      <c r="AI137" s="3">
        <f t="shared" si="30"/>
        <v>-1.3474382462054433E-2</v>
      </c>
    </row>
    <row r="138" spans="19:35" x14ac:dyDescent="0.3">
      <c r="S138" s="6">
        <v>121</v>
      </c>
      <c r="T138" s="4">
        <f t="shared" si="16"/>
        <v>60.5</v>
      </c>
      <c r="U138" s="3">
        <f t="shared" si="17"/>
        <v>-1990801.5243693753</v>
      </c>
      <c r="V138" s="3">
        <f t="shared" si="18"/>
        <v>83857.632459443557</v>
      </c>
      <c r="W138" s="3">
        <f t="shared" si="19"/>
        <v>-32830.905992462096</v>
      </c>
      <c r="X138" s="3">
        <f t="shared" si="20"/>
        <v>2614.6910199981958</v>
      </c>
      <c r="Y138" s="3">
        <f t="shared" si="21"/>
        <v>1994376.5294823903</v>
      </c>
      <c r="Z138" s="3">
        <f t="shared" si="22"/>
        <v>-75049.882717970599</v>
      </c>
      <c r="AA138" s="3">
        <f t="shared" si="23"/>
        <v>1995788.1215815982</v>
      </c>
      <c r="AB138" s="3">
        <f t="shared" si="24"/>
        <v>1954376.5294823903</v>
      </c>
      <c r="AC138" s="3">
        <f t="shared" si="25"/>
        <v>-72549.882717970599</v>
      </c>
      <c r="AD138" s="3">
        <f t="shared" si="26"/>
        <v>1955722.6553052003</v>
      </c>
      <c r="AE138" s="3">
        <f t="shared" si="27"/>
        <v>1969376.5294823903</v>
      </c>
      <c r="AF138" s="3">
        <f t="shared" si="31"/>
        <v>-97549.882717970599</v>
      </c>
      <c r="AG138" s="3">
        <f t="shared" si="28"/>
        <v>1971791.0372284367</v>
      </c>
      <c r="AH138" s="3">
        <f t="shared" si="29"/>
        <v>0.31278627497724709</v>
      </c>
      <c r="AI138" s="3">
        <f t="shared" si="30"/>
        <v>-1.3347470243712523E-2</v>
      </c>
    </row>
    <row r="139" spans="19:35" x14ac:dyDescent="0.3">
      <c r="S139" s="6">
        <v>122</v>
      </c>
      <c r="T139" s="4">
        <f t="shared" si="16"/>
        <v>61</v>
      </c>
      <c r="U139" s="3">
        <f t="shared" si="17"/>
        <v>-2007216.8991690378</v>
      </c>
      <c r="V139" s="3">
        <f t="shared" si="18"/>
        <v>85164.974632575089</v>
      </c>
      <c r="W139" s="3">
        <f t="shared" si="19"/>
        <v>-32811.826029688484</v>
      </c>
      <c r="X139" s="3">
        <f t="shared" si="20"/>
        <v>2613.8768243133295</v>
      </c>
      <c r="Y139" s="3">
        <f t="shared" si="21"/>
        <v>2010801.5243693753</v>
      </c>
      <c r="Z139" s="3">
        <f t="shared" si="22"/>
        <v>-76357.632459443557</v>
      </c>
      <c r="AA139" s="3">
        <f t="shared" si="23"/>
        <v>2012250.7941211043</v>
      </c>
      <c r="AB139" s="3">
        <f t="shared" si="24"/>
        <v>1970801.5243693753</v>
      </c>
      <c r="AC139" s="3">
        <f t="shared" si="25"/>
        <v>-73857.632459443557</v>
      </c>
      <c r="AD139" s="3">
        <f t="shared" si="26"/>
        <v>1972184.9807584397</v>
      </c>
      <c r="AE139" s="3">
        <f t="shared" si="27"/>
        <v>1985801.5243693753</v>
      </c>
      <c r="AF139" s="3">
        <f t="shared" si="31"/>
        <v>-98857.632459443557</v>
      </c>
      <c r="AG139" s="3">
        <f t="shared" si="28"/>
        <v>1988260.6785035059</v>
      </c>
      <c r="AH139" s="3">
        <f t="shared" si="29"/>
        <v>0.30764267048866301</v>
      </c>
      <c r="AI139" s="3">
        <f t="shared" si="30"/>
        <v>-1.322145758278646E-2</v>
      </c>
    </row>
    <row r="140" spans="19:35" x14ac:dyDescent="0.3">
      <c r="S140" s="6">
        <v>123</v>
      </c>
      <c r="T140" s="4">
        <f t="shared" si="16"/>
        <v>61.5</v>
      </c>
      <c r="U140" s="3">
        <f t="shared" si="17"/>
        <v>-2023622.7352732145</v>
      </c>
      <c r="V140" s="3">
        <f t="shared" si="18"/>
        <v>86471.909739367358</v>
      </c>
      <c r="W140" s="3">
        <f t="shared" si="19"/>
        <v>-32792.906005453427</v>
      </c>
      <c r="X140" s="3">
        <f t="shared" si="20"/>
        <v>2613.063704671988</v>
      </c>
      <c r="Y140" s="3">
        <f t="shared" si="21"/>
        <v>2027216.8991690378</v>
      </c>
      <c r="Z140" s="3">
        <f t="shared" si="22"/>
        <v>-77664.974632575089</v>
      </c>
      <c r="AA140" s="3">
        <f t="shared" si="23"/>
        <v>2028704.0702283829</v>
      </c>
      <c r="AB140" s="3">
        <f t="shared" si="24"/>
        <v>1987216.8991690378</v>
      </c>
      <c r="AC140" s="3">
        <f t="shared" si="25"/>
        <v>-75164.974632575089</v>
      </c>
      <c r="AD140" s="3">
        <f t="shared" si="26"/>
        <v>1988637.9202244238</v>
      </c>
      <c r="AE140" s="3">
        <f t="shared" si="27"/>
        <v>2002216.8991690378</v>
      </c>
      <c r="AF140" s="3">
        <f t="shared" si="31"/>
        <v>-100164.97463257509</v>
      </c>
      <c r="AG140" s="3">
        <f t="shared" si="28"/>
        <v>2004720.8118491767</v>
      </c>
      <c r="AH140" s="3">
        <f t="shared" si="29"/>
        <v>0.30262772516051661</v>
      </c>
      <c r="AI140" s="3">
        <f t="shared" si="30"/>
        <v>-1.3096388575626693E-2</v>
      </c>
    </row>
    <row r="141" spans="19:35" x14ac:dyDescent="0.3">
      <c r="S141" s="6">
        <v>124</v>
      </c>
      <c r="T141" s="4">
        <f t="shared" si="16"/>
        <v>62</v>
      </c>
      <c r="U141" s="3">
        <f t="shared" si="17"/>
        <v>-2040019.1126190098</v>
      </c>
      <c r="V141" s="3">
        <f t="shared" si="18"/>
        <v>87778.438317606197</v>
      </c>
      <c r="W141" s="3">
        <f t="shared" si="19"/>
        <v>-32774.143086493474</v>
      </c>
      <c r="X141" s="3">
        <f t="shared" si="20"/>
        <v>2612.2517285802992</v>
      </c>
      <c r="Y141" s="3">
        <f t="shared" si="21"/>
        <v>2043622.7352732145</v>
      </c>
      <c r="Z141" s="3">
        <f t="shared" si="22"/>
        <v>-78971.909739367358</v>
      </c>
      <c r="AA141" s="3">
        <f t="shared" si="23"/>
        <v>2045148.0256092609</v>
      </c>
      <c r="AB141" s="3">
        <f t="shared" si="24"/>
        <v>2003622.7352732145</v>
      </c>
      <c r="AC141" s="3">
        <f t="shared" si="25"/>
        <v>-76471.909739367358</v>
      </c>
      <c r="AD141" s="3">
        <f t="shared" si="26"/>
        <v>2005081.5490355757</v>
      </c>
      <c r="AE141" s="3">
        <f t="shared" si="27"/>
        <v>2018622.7352732145</v>
      </c>
      <c r="AF141" s="3">
        <f t="shared" si="31"/>
        <v>-101471.90973936736</v>
      </c>
      <c r="AG141" s="3">
        <f t="shared" si="28"/>
        <v>2021171.5156878866</v>
      </c>
      <c r="AH141" s="3">
        <f t="shared" si="29"/>
        <v>0.29773714092998899</v>
      </c>
      <c r="AI141" s="3">
        <f t="shared" si="30"/>
        <v>-1.2972302445088712E-2</v>
      </c>
    </row>
    <row r="142" spans="19:35" x14ac:dyDescent="0.3">
      <c r="S142" s="6">
        <v>125</v>
      </c>
      <c r="T142" s="4">
        <f t="shared" si="16"/>
        <v>62.5</v>
      </c>
      <c r="U142" s="3">
        <f t="shared" si="17"/>
        <v>-2056406.1097279713</v>
      </c>
      <c r="V142" s="3">
        <f t="shared" si="18"/>
        <v>89084.560938820738</v>
      </c>
      <c r="W142" s="3">
        <f t="shared" si="19"/>
        <v>-32755.534515185351</v>
      </c>
      <c r="X142" s="3">
        <f t="shared" si="20"/>
        <v>2611.4409596774813</v>
      </c>
      <c r="Y142" s="3">
        <f t="shared" si="21"/>
        <v>2060019.1126190098</v>
      </c>
      <c r="Z142" s="3">
        <f t="shared" si="22"/>
        <v>-80278.438317606197</v>
      </c>
      <c r="AA142" s="3">
        <f t="shared" si="23"/>
        <v>2061582.73470029</v>
      </c>
      <c r="AB142" s="3">
        <f t="shared" si="24"/>
        <v>2020019.1126190098</v>
      </c>
      <c r="AC142" s="3">
        <f t="shared" si="25"/>
        <v>-77778.438317606197</v>
      </c>
      <c r="AD142" s="3">
        <f t="shared" si="26"/>
        <v>2021515.9412711088</v>
      </c>
      <c r="AE142" s="3">
        <f t="shared" si="27"/>
        <v>2035019.1126190098</v>
      </c>
      <c r="AF142" s="3">
        <f t="shared" si="31"/>
        <v>-102778.4383176062</v>
      </c>
      <c r="AG142" s="3">
        <f t="shared" si="28"/>
        <v>2037612.8670843409</v>
      </c>
      <c r="AH142" s="3">
        <f t="shared" si="29"/>
        <v>0.2929667987284672</v>
      </c>
      <c r="AI142" s="3">
        <f t="shared" si="30"/>
        <v>-1.284923393226286E-2</v>
      </c>
    </row>
    <row r="143" spans="19:35" x14ac:dyDescent="0.3">
      <c r="S143" s="6">
        <v>126</v>
      </c>
      <c r="T143" s="4">
        <f t="shared" si="16"/>
        <v>63</v>
      </c>
      <c r="U143" s="3">
        <f t="shared" si="17"/>
        <v>-2072783.8037438642</v>
      </c>
      <c r="V143" s="3">
        <f t="shared" si="18"/>
        <v>90390.278206350995</v>
      </c>
      <c r="W143" s="3">
        <f t="shared" si="19"/>
        <v>-32737.077606865456</v>
      </c>
      <c r="X143" s="3">
        <f t="shared" si="20"/>
        <v>2610.6314579397485</v>
      </c>
      <c r="Y143" s="3">
        <f t="shared" si="21"/>
        <v>2076406.1097279713</v>
      </c>
      <c r="Z143" s="3">
        <f t="shared" si="22"/>
        <v>-81584.560938820738</v>
      </c>
      <c r="AA143" s="3">
        <f t="shared" si="23"/>
        <v>2078008.2707003907</v>
      </c>
      <c r="AB143" s="3">
        <f t="shared" si="24"/>
        <v>2036406.1097279713</v>
      </c>
      <c r="AC143" s="3">
        <f t="shared" si="25"/>
        <v>-79084.560938820738</v>
      </c>
      <c r="AD143" s="3">
        <f t="shared" si="26"/>
        <v>2037941.1697878563</v>
      </c>
      <c r="AE143" s="3">
        <f t="shared" si="27"/>
        <v>2051406.1097279713</v>
      </c>
      <c r="AF143" s="3">
        <f t="shared" si="31"/>
        <v>-104084.56093882074</v>
      </c>
      <c r="AG143" s="3">
        <f t="shared" si="28"/>
        <v>2054044.9417807478</v>
      </c>
      <c r="AH143" s="3">
        <f t="shared" si="29"/>
        <v>0.28831274957869973</v>
      </c>
      <c r="AI143" s="3">
        <f t="shared" si="30"/>
        <v>-1.2727213657058921E-2</v>
      </c>
    </row>
    <row r="144" spans="19:35" x14ac:dyDescent="0.3">
      <c r="S144" s="6">
        <v>127</v>
      </c>
      <c r="T144" s="4">
        <f t="shared" si="16"/>
        <v>63.5</v>
      </c>
      <c r="U144" s="3">
        <f t="shared" si="17"/>
        <v>-2089152.2704691095</v>
      </c>
      <c r="V144" s="3">
        <f t="shared" si="18"/>
        <v>91695.590753517448</v>
      </c>
      <c r="W144" s="3">
        <f t="shared" si="19"/>
        <v>-32718.769747267208</v>
      </c>
      <c r="X144" s="3">
        <f t="shared" si="20"/>
        <v>2609.8232798725253</v>
      </c>
      <c r="Y144" s="3">
        <f t="shared" si="21"/>
        <v>2092783.8037438642</v>
      </c>
      <c r="Z144" s="3">
        <f t="shared" si="22"/>
        <v>-82890.278206350995</v>
      </c>
      <c r="AA144" s="3">
        <f t="shared" si="23"/>
        <v>2094424.7056014603</v>
      </c>
      <c r="AB144" s="3">
        <f t="shared" si="24"/>
        <v>2052783.8037438642</v>
      </c>
      <c r="AC144" s="3">
        <f t="shared" si="25"/>
        <v>-80390.278206350995</v>
      </c>
      <c r="AD144" s="3">
        <f t="shared" si="26"/>
        <v>2054357.3062501133</v>
      </c>
      <c r="AE144" s="3">
        <f t="shared" si="27"/>
        <v>2067783.8037438642</v>
      </c>
      <c r="AF144" s="3">
        <f t="shared" si="31"/>
        <v>-105390.27820635099</v>
      </c>
      <c r="AG144" s="3">
        <f t="shared" si="28"/>
        <v>2070467.8142308455</v>
      </c>
      <c r="AH144" s="3">
        <f t="shared" si="29"/>
        <v>0.28377120620556584</v>
      </c>
      <c r="AI144" s="3">
        <f t="shared" si="30"/>
        <v>-1.2606268450241976E-2</v>
      </c>
    </row>
    <row r="145" spans="19:35" x14ac:dyDescent="0.3">
      <c r="S145" s="6">
        <v>128</v>
      </c>
      <c r="T145" s="4">
        <f t="shared" si="16"/>
        <v>64</v>
      </c>
      <c r="U145" s="3">
        <f t="shared" si="17"/>
        <v>-2105511.5843999418</v>
      </c>
      <c r="V145" s="3">
        <f t="shared" si="18"/>
        <v>93000.499241886602</v>
      </c>
      <c r="W145" s="3">
        <f t="shared" si="19"/>
        <v>-32700.608390070051</v>
      </c>
      <c r="X145" s="3">
        <f t="shared" si="20"/>
        <v>2609.0164786917098</v>
      </c>
      <c r="Y145" s="3">
        <f t="shared" si="21"/>
        <v>2109152.2704691095</v>
      </c>
      <c r="Z145" s="3">
        <f t="shared" si="22"/>
        <v>-84195.590753517448</v>
      </c>
      <c r="AA145" s="3">
        <f t="shared" si="23"/>
        <v>2110832.1102179904</v>
      </c>
      <c r="AB145" s="3">
        <f t="shared" si="24"/>
        <v>2069152.2704691095</v>
      </c>
      <c r="AC145" s="3">
        <f t="shared" si="25"/>
        <v>-81695.590753517448</v>
      </c>
      <c r="AD145" s="3">
        <f t="shared" si="26"/>
        <v>2070764.4211585338</v>
      </c>
      <c r="AE145" s="3">
        <f t="shared" si="27"/>
        <v>2084152.2704691095</v>
      </c>
      <c r="AF145" s="3">
        <f t="shared" si="31"/>
        <v>-106695.59075351745</v>
      </c>
      <c r="AG145" s="3">
        <f t="shared" si="28"/>
        <v>2086881.5576327725</v>
      </c>
      <c r="AH145" s="3">
        <f t="shared" si="29"/>
        <v>0.27933853512679169</v>
      </c>
      <c r="AI145" s="3">
        <f t="shared" si="30"/>
        <v>-1.2486421659285138E-2</v>
      </c>
    </row>
    <row r="146" spans="19:35" x14ac:dyDescent="0.3">
      <c r="S146" s="6">
        <v>129</v>
      </c>
      <c r="T146" s="4">
        <f t="shared" ref="T146:T209" si="32">T145+$C$4</f>
        <v>64.5</v>
      </c>
      <c r="U146" s="3">
        <f t="shared" ref="U146:U209" si="33">U145+(W145*$C$4)+(AH145*POWER($C$4,2))</f>
        <v>-2121861.8187603434</v>
      </c>
      <c r="V146" s="3">
        <f t="shared" ref="V146:V209" si="34">V145+(X145*$C$4)+(AI145*POWER($C$4,2))</f>
        <v>94305.004359627041</v>
      </c>
      <c r="W146" s="3">
        <f t="shared" ref="W146:W209" si="35">W145+(AH145*T146)</f>
        <v>-32682.591054554374</v>
      </c>
      <c r="X146" s="3">
        <f t="shared" ref="X146:X209" si="36">X145+(AI145*T146)</f>
        <v>2608.211104494686</v>
      </c>
      <c r="Y146" s="3">
        <f t="shared" ref="Y146:Y209" si="37">$C$19-U145</f>
        <v>2125511.5843999418</v>
      </c>
      <c r="Z146" s="3">
        <f t="shared" ref="Z146:Z209" si="38">$C$20-V145</f>
        <v>-85500.499241886602</v>
      </c>
      <c r="AA146" s="3">
        <f t="shared" ref="AA146:AA209" si="39">SQRT(POWER(Y146,2)+POWER(Z146,2))</f>
        <v>2127230.5542157306</v>
      </c>
      <c r="AB146" s="3">
        <f t="shared" ref="AB146:AB209" si="40">$F$19-U145</f>
        <v>2085511.5843999418</v>
      </c>
      <c r="AC146" s="3">
        <f t="shared" ref="AC146:AC209" si="41">$F$20-V145</f>
        <v>-83000.499241886602</v>
      </c>
      <c r="AD146" s="3">
        <f t="shared" ref="AD146:AD209" si="42">SQRT(POWER(AB146,2)+POWER(AC146,2))</f>
        <v>2087162.5838781123</v>
      </c>
      <c r="AE146" s="3">
        <f t="shared" ref="AE146:AE209" si="43">$I$19-U145</f>
        <v>2100511.5843999418</v>
      </c>
      <c r="AF146" s="3">
        <f t="shared" si="31"/>
        <v>-108000.4992418866</v>
      </c>
      <c r="AG146" s="3">
        <f t="shared" ref="AG146:AG209" si="44">SQRT(POWER(AE146,2)+POWER(AF146,2))</f>
        <v>2103286.243960829</v>
      </c>
      <c r="AH146" s="3">
        <f t="shared" ref="AH146:AH209" si="45">($C$24*(Y146/POWER(POWER(AA146,2)+POWER($C$25,2),3/2)))+($F$24*(AB146/POWER(POWER(AD146,2)+POWER($F$25,2),3/2)))+($I$24*(AE146/POWER(POWER(AG146,2)+POWER($I$25,2),3/2)))</f>
        <v>0.27501124919247444</v>
      </c>
      <c r="AI146" s="3">
        <f t="shared" ref="AI146:AI209" si="46">$C$24*(Z146/POWER(POWER(AA146,2)+POWER($C$25,2),3/2))+$F$24*(AC146/POWER(POWER(AD146,2)+POWER($F$25,2),3/2))+$I$24*(AF146/POWER(POWER(AG146,2)+POWER($I$25,2),3/2))</f>
        <v>-1.2367693430198681E-2</v>
      </c>
    </row>
    <row r="147" spans="19:35" x14ac:dyDescent="0.3">
      <c r="S147" s="6">
        <v>130</v>
      </c>
      <c r="T147" s="4">
        <f t="shared" si="32"/>
        <v>65</v>
      </c>
      <c r="U147" s="3">
        <f t="shared" si="33"/>
        <v>-2138203.0455348082</v>
      </c>
      <c r="V147" s="3">
        <f t="shared" si="34"/>
        <v>95609.106819951034</v>
      </c>
      <c r="W147" s="3">
        <f t="shared" si="35"/>
        <v>-32664.715323356864</v>
      </c>
      <c r="X147" s="3">
        <f t="shared" si="36"/>
        <v>2607.4072044217232</v>
      </c>
      <c r="Y147" s="3">
        <f t="shared" si="37"/>
        <v>2141861.8187603434</v>
      </c>
      <c r="Z147" s="3">
        <f t="shared" si="38"/>
        <v>-86805.004359627041</v>
      </c>
      <c r="AA147" s="3">
        <f t="shared" si="39"/>
        <v>2143620.1061394345</v>
      </c>
      <c r="AB147" s="3">
        <f t="shared" si="40"/>
        <v>2101861.8187603434</v>
      </c>
      <c r="AC147" s="3">
        <f t="shared" si="41"/>
        <v>-84305.004359627041</v>
      </c>
      <c r="AD147" s="3">
        <f t="shared" si="42"/>
        <v>2103551.8626652909</v>
      </c>
      <c r="AE147" s="3">
        <f t="shared" si="43"/>
        <v>2116861.8187603434</v>
      </c>
      <c r="AF147" s="3">
        <f t="shared" ref="AF147:AF210" si="47">$I$20-V146</f>
        <v>-109305.00435962704</v>
      </c>
      <c r="AG147" s="3">
        <f t="shared" si="44"/>
        <v>2119681.9439961757</v>
      </c>
      <c r="AH147" s="3">
        <f t="shared" si="45"/>
        <v>0.27078600054444851</v>
      </c>
      <c r="AI147" s="3">
        <f t="shared" si="46"/>
        <v>-1.2250100967302086E-2</v>
      </c>
    </row>
    <row r="148" spans="19:35" x14ac:dyDescent="0.3">
      <c r="S148" s="6">
        <v>131</v>
      </c>
      <c r="T148" s="4">
        <f t="shared" si="32"/>
        <v>65.5</v>
      </c>
      <c r="U148" s="3">
        <f t="shared" si="33"/>
        <v>-2154535.3354999865</v>
      </c>
      <c r="V148" s="3">
        <f t="shared" si="34"/>
        <v>96912.807359636659</v>
      </c>
      <c r="W148" s="3">
        <f t="shared" si="35"/>
        <v>-32646.978840321204</v>
      </c>
      <c r="X148" s="3">
        <f t="shared" si="36"/>
        <v>2606.604822808365</v>
      </c>
      <c r="Y148" s="3">
        <f t="shared" si="37"/>
        <v>2158203.0455348082</v>
      </c>
      <c r="Z148" s="3">
        <f t="shared" si="38"/>
        <v>-88109.106819951034</v>
      </c>
      <c r="AA148" s="3">
        <f t="shared" si="39"/>
        <v>2160000.8334397306</v>
      </c>
      <c r="AB148" s="3">
        <f t="shared" si="40"/>
        <v>2118203.0455348082</v>
      </c>
      <c r="AC148" s="3">
        <f t="shared" si="41"/>
        <v>-85609.106819951034</v>
      </c>
      <c r="AD148" s="3">
        <f t="shared" si="42"/>
        <v>2119932.3246942214</v>
      </c>
      <c r="AE148" s="3">
        <f t="shared" si="43"/>
        <v>2133203.0455348082</v>
      </c>
      <c r="AF148" s="3">
        <f t="shared" si="47"/>
        <v>-110609.10681995103</v>
      </c>
      <c r="AG148" s="3">
        <f t="shared" si="44"/>
        <v>2136068.7273565168</v>
      </c>
      <c r="AH148" s="3">
        <f t="shared" si="45"/>
        <v>0.26665957396870377</v>
      </c>
      <c r="AI148" s="3">
        <f t="shared" si="46"/>
        <v>-1.2133658772738139E-2</v>
      </c>
    </row>
    <row r="149" spans="19:35" x14ac:dyDescent="0.3">
      <c r="S149" s="6">
        <v>132</v>
      </c>
      <c r="T149" s="4">
        <f t="shared" si="32"/>
        <v>66</v>
      </c>
      <c r="U149" s="3">
        <f t="shared" si="33"/>
        <v>-2170858.7582552535</v>
      </c>
      <c r="V149" s="3">
        <f t="shared" si="34"/>
        <v>98216.106737626149</v>
      </c>
      <c r="W149" s="3">
        <f t="shared" si="35"/>
        <v>-32629.379308439271</v>
      </c>
      <c r="X149" s="3">
        <f t="shared" si="36"/>
        <v>2605.8040013293644</v>
      </c>
      <c r="Y149" s="3">
        <f t="shared" si="37"/>
        <v>2174535.3354999865</v>
      </c>
      <c r="Z149" s="3">
        <f t="shared" si="38"/>
        <v>-89412.807359636659</v>
      </c>
      <c r="AA149" s="3">
        <f t="shared" si="39"/>
        <v>2176372.8024991425</v>
      </c>
      <c r="AB149" s="3">
        <f t="shared" si="40"/>
        <v>2134535.3354999865</v>
      </c>
      <c r="AC149" s="3">
        <f t="shared" si="41"/>
        <v>-86912.807359636659</v>
      </c>
      <c r="AD149" s="3">
        <f t="shared" si="42"/>
        <v>2136304.0360822179</v>
      </c>
      <c r="AE149" s="3">
        <f t="shared" si="43"/>
        <v>2149535.3354999865</v>
      </c>
      <c r="AF149" s="3">
        <f t="shared" si="47"/>
        <v>-111912.80735963666</v>
      </c>
      <c r="AG149" s="3">
        <f t="shared" si="44"/>
        <v>2152446.6625248012</v>
      </c>
      <c r="AH149" s="3">
        <f t="shared" si="45"/>
        <v>0.2626288806158843</v>
      </c>
      <c r="AI149" s="3">
        <f t="shared" si="46"/>
        <v>-1.201837886736833E-2</v>
      </c>
    </row>
    <row r="150" spans="19:35" x14ac:dyDescent="0.3">
      <c r="S150" s="6">
        <v>133</v>
      </c>
      <c r="T150" s="4">
        <f t="shared" si="32"/>
        <v>66.5</v>
      </c>
      <c r="U150" s="3">
        <f t="shared" si="33"/>
        <v>-2187173.3822522527</v>
      </c>
      <c r="V150" s="3">
        <f t="shared" si="34"/>
        <v>99519.005733696104</v>
      </c>
      <c r="W150" s="3">
        <f t="shared" si="35"/>
        <v>-32611.914487878315</v>
      </c>
      <c r="X150" s="3">
        <f t="shared" si="36"/>
        <v>2605.0047791346842</v>
      </c>
      <c r="Y150" s="3">
        <f t="shared" si="37"/>
        <v>2190858.7582552535</v>
      </c>
      <c r="Z150" s="3">
        <f t="shared" si="38"/>
        <v>-90716.106737626149</v>
      </c>
      <c r="AA150" s="3">
        <f t="shared" si="39"/>
        <v>2192736.0786572983</v>
      </c>
      <c r="AB150" s="3">
        <f t="shared" si="40"/>
        <v>2150858.7582552535</v>
      </c>
      <c r="AC150" s="3">
        <f t="shared" si="41"/>
        <v>-88216.106737626149</v>
      </c>
      <c r="AD150" s="3">
        <f t="shared" si="42"/>
        <v>2152667.0619144235</v>
      </c>
      <c r="AE150" s="3">
        <f t="shared" si="43"/>
        <v>2165858.7582552535</v>
      </c>
      <c r="AF150" s="3">
        <f t="shared" si="47"/>
        <v>-113216.10673762615</v>
      </c>
      <c r="AG150" s="3">
        <f t="shared" si="44"/>
        <v>2168815.8168769921</v>
      </c>
      <c r="AH150" s="3">
        <f t="shared" si="45"/>
        <v>0.25869095206676773</v>
      </c>
      <c r="AI150" s="3">
        <f t="shared" si="46"/>
        <v>-1.1904270994552574E-2</v>
      </c>
    </row>
    <row r="151" spans="19:35" x14ac:dyDescent="0.3">
      <c r="S151" s="6">
        <v>134</v>
      </c>
      <c r="T151" s="4">
        <f t="shared" si="32"/>
        <v>67</v>
      </c>
      <c r="U151" s="3">
        <f t="shared" si="33"/>
        <v>-2203479.2748234537</v>
      </c>
      <c r="V151" s="3">
        <f t="shared" si="34"/>
        <v>100821.5051471957</v>
      </c>
      <c r="W151" s="3">
        <f t="shared" si="35"/>
        <v>-32594.582194089842</v>
      </c>
      <c r="X151" s="3">
        <f t="shared" si="36"/>
        <v>2604.2071929780491</v>
      </c>
      <c r="Y151" s="3">
        <f t="shared" si="37"/>
        <v>2207173.3822522527</v>
      </c>
      <c r="Z151" s="3">
        <f t="shared" si="38"/>
        <v>-92019.005733696104</v>
      </c>
      <c r="AA151" s="3">
        <f t="shared" si="39"/>
        <v>2209090.726235359</v>
      </c>
      <c r="AB151" s="3">
        <f t="shared" si="40"/>
        <v>2167173.3822522527</v>
      </c>
      <c r="AC151" s="3">
        <f t="shared" si="41"/>
        <v>-89519.005733696104</v>
      </c>
      <c r="AD151" s="3">
        <f t="shared" si="42"/>
        <v>2169021.466267731</v>
      </c>
      <c r="AE151" s="3">
        <f t="shared" si="43"/>
        <v>2182173.3822522527</v>
      </c>
      <c r="AF151" s="3">
        <f t="shared" si="47"/>
        <v>-114519.0057336961</v>
      </c>
      <c r="AG151" s="3">
        <f t="shared" si="44"/>
        <v>2185176.2567089344</v>
      </c>
      <c r="AH151" s="3">
        <f t="shared" si="45"/>
        <v>0.25484293472115449</v>
      </c>
      <c r="AI151" s="3">
        <f t="shared" si="46"/>
        <v>-1.1791342808183339E-2</v>
      </c>
    </row>
    <row r="152" spans="19:35" x14ac:dyDescent="0.3">
      <c r="S152" s="6">
        <v>135</v>
      </c>
      <c r="T152" s="4">
        <f t="shared" si="32"/>
        <v>67.5</v>
      </c>
      <c r="U152" s="3">
        <f t="shared" si="33"/>
        <v>-2219776.5022097649</v>
      </c>
      <c r="V152" s="3">
        <f t="shared" si="34"/>
        <v>102123.60579584901</v>
      </c>
      <c r="W152" s="3">
        <f t="shared" si="35"/>
        <v>-32577.380295996165</v>
      </c>
      <c r="X152" s="3">
        <f t="shared" si="36"/>
        <v>2603.4112773384968</v>
      </c>
      <c r="Y152" s="3">
        <f t="shared" si="37"/>
        <v>2223479.2748234537</v>
      </c>
      <c r="Z152" s="3">
        <f t="shared" si="38"/>
        <v>-93321.505147195698</v>
      </c>
      <c r="AA152" s="3">
        <f t="shared" si="39"/>
        <v>2225436.8085596971</v>
      </c>
      <c r="AB152" s="3">
        <f t="shared" si="40"/>
        <v>2183479.2748234537</v>
      </c>
      <c r="AC152" s="3">
        <f t="shared" si="41"/>
        <v>-90821.505147195698</v>
      </c>
      <c r="AD152" s="3">
        <f t="shared" si="42"/>
        <v>2185367.312233977</v>
      </c>
      <c r="AE152" s="3">
        <f t="shared" si="43"/>
        <v>2198479.2748234537</v>
      </c>
      <c r="AF152" s="3">
        <f t="shared" si="47"/>
        <v>-115821.5051471957</v>
      </c>
      <c r="AG152" s="3">
        <f t="shared" si="44"/>
        <v>2201528.0472623599</v>
      </c>
      <c r="AH152" s="3">
        <f t="shared" si="45"/>
        <v>0.25108208449017266</v>
      </c>
      <c r="AI152" s="3">
        <f t="shared" si="46"/>
        <v>-1.1679600046231572E-2</v>
      </c>
    </row>
    <row r="153" spans="19:35" x14ac:dyDescent="0.3">
      <c r="S153" s="6">
        <v>136</v>
      </c>
      <c r="T153" s="4">
        <f t="shared" si="32"/>
        <v>68</v>
      </c>
      <c r="U153" s="3">
        <f t="shared" si="33"/>
        <v>-2236065.1295872419</v>
      </c>
      <c r="V153" s="3">
        <f t="shared" si="34"/>
        <v>103425.30851461824</v>
      </c>
      <c r="W153" s="3">
        <f t="shared" si="35"/>
        <v>-32560.306714250833</v>
      </c>
      <c r="X153" s="3">
        <f t="shared" si="36"/>
        <v>2602.6170645353532</v>
      </c>
      <c r="Y153" s="3">
        <f t="shared" si="37"/>
        <v>2239776.5022097649</v>
      </c>
      <c r="Z153" s="3">
        <f t="shared" si="38"/>
        <v>-94623.605795849013</v>
      </c>
      <c r="AA153" s="3">
        <f t="shared" si="39"/>
        <v>2241774.387984843</v>
      </c>
      <c r="AB153" s="3">
        <f t="shared" si="40"/>
        <v>2199776.5022097649</v>
      </c>
      <c r="AC153" s="3">
        <f t="shared" si="41"/>
        <v>-92123.605795849013</v>
      </c>
      <c r="AD153" s="3">
        <f t="shared" si="42"/>
        <v>2201704.6619424359</v>
      </c>
      <c r="AE153" s="3">
        <f t="shared" si="43"/>
        <v>2214776.5022097649</v>
      </c>
      <c r="AF153" s="3">
        <f t="shared" si="47"/>
        <v>-117123.60579584901</v>
      </c>
      <c r="AG153" s="3">
        <f t="shared" si="44"/>
        <v>2217871.2527500647</v>
      </c>
      <c r="AH153" s="3">
        <f t="shared" si="45"/>
        <v>0.24740576177333817</v>
      </c>
      <c r="AI153" s="3">
        <f t="shared" si="46"/>
        <v>-1.1569046690952916E-2</v>
      </c>
    </row>
    <row r="154" spans="19:35" x14ac:dyDescent="0.3">
      <c r="S154" s="6">
        <v>137</v>
      </c>
      <c r="T154" s="4">
        <f t="shared" si="32"/>
        <v>68.5</v>
      </c>
      <c r="U154" s="3">
        <f t="shared" si="33"/>
        <v>-2252345.2210929268</v>
      </c>
      <c r="V154" s="3">
        <f t="shared" si="34"/>
        <v>104726.61415462424</v>
      </c>
      <c r="W154" s="3">
        <f t="shared" si="35"/>
        <v>-32543.359419569359</v>
      </c>
      <c r="X154" s="3">
        <f t="shared" si="36"/>
        <v>2601.8245848370229</v>
      </c>
      <c r="Y154" s="3">
        <f t="shared" si="37"/>
        <v>2256065.1295872419</v>
      </c>
      <c r="Z154" s="3">
        <f t="shared" si="38"/>
        <v>-95925.308514618242</v>
      </c>
      <c r="AA154" s="3">
        <f t="shared" si="39"/>
        <v>2258103.5259157461</v>
      </c>
      <c r="AB154" s="3">
        <f t="shared" si="40"/>
        <v>2216065.1295872419</v>
      </c>
      <c r="AC154" s="3">
        <f t="shared" si="41"/>
        <v>-93425.308514618242</v>
      </c>
      <c r="AD154" s="3">
        <f t="shared" si="42"/>
        <v>2218033.5765816467</v>
      </c>
      <c r="AE154" s="3">
        <f t="shared" si="43"/>
        <v>2231065.1295872419</v>
      </c>
      <c r="AF154" s="3">
        <f t="shared" si="47"/>
        <v>-118425.30851461824</v>
      </c>
      <c r="AG154" s="3">
        <f t="shared" si="44"/>
        <v>2234205.9363802881</v>
      </c>
      <c r="AH154" s="3">
        <f t="shared" si="45"/>
        <v>0.24381142670302935</v>
      </c>
      <c r="AI154" s="3">
        <f t="shared" si="46"/>
        <v>-1.1459685116808629E-2</v>
      </c>
    </row>
    <row r="155" spans="19:35" x14ac:dyDescent="0.3">
      <c r="S155" s="6">
        <v>138</v>
      </c>
      <c r="T155" s="4">
        <f t="shared" si="32"/>
        <v>69</v>
      </c>
      <c r="U155" s="3">
        <f t="shared" si="33"/>
        <v>-2268616.8398498548</v>
      </c>
      <c r="V155" s="3">
        <f t="shared" si="34"/>
        <v>106027.52358212147</v>
      </c>
      <c r="W155" s="3">
        <f t="shared" si="35"/>
        <v>-32526.536431126849</v>
      </c>
      <c r="X155" s="3">
        <f t="shared" si="36"/>
        <v>2601.0338665639633</v>
      </c>
      <c r="Y155" s="3">
        <f t="shared" si="37"/>
        <v>2272345.2210929268</v>
      </c>
      <c r="Z155" s="3">
        <f t="shared" si="38"/>
        <v>-97226.614154624243</v>
      </c>
      <c r="AA155" s="3">
        <f t="shared" si="39"/>
        <v>2274424.2828293568</v>
      </c>
      <c r="AB155" s="3">
        <f t="shared" si="40"/>
        <v>2232345.2210929268</v>
      </c>
      <c r="AC155" s="3">
        <f t="shared" si="41"/>
        <v>-94726.614154624243</v>
      </c>
      <c r="AD155" s="3">
        <f t="shared" si="42"/>
        <v>2234354.1164205885</v>
      </c>
      <c r="AE155" s="3">
        <f t="shared" si="43"/>
        <v>2247345.2210929268</v>
      </c>
      <c r="AF155" s="3">
        <f t="shared" si="47"/>
        <v>-119726.61415462424</v>
      </c>
      <c r="AG155" s="3">
        <f t="shared" si="44"/>
        <v>2250532.1603803281</v>
      </c>
      <c r="AH155" s="3">
        <f t="shared" si="45"/>
        <v>0.24029663464019005</v>
      </c>
      <c r="AI155" s="3">
        <f t="shared" si="46"/>
        <v>-1.1351516227066174E-2</v>
      </c>
    </row>
    <row r="156" spans="19:35" x14ac:dyDescent="0.3">
      <c r="S156" s="6">
        <v>139</v>
      </c>
      <c r="T156" s="4">
        <f t="shared" si="32"/>
        <v>69.5</v>
      </c>
      <c r="U156" s="3">
        <f t="shared" si="33"/>
        <v>-2284880.04799126</v>
      </c>
      <c r="V156" s="3">
        <f t="shared" si="34"/>
        <v>107328.03767752439</v>
      </c>
      <c r="W156" s="3">
        <f t="shared" si="35"/>
        <v>-32509.835815019356</v>
      </c>
      <c r="X156" s="3">
        <f t="shared" si="36"/>
        <v>2600.2449361861823</v>
      </c>
      <c r="Y156" s="3">
        <f t="shared" si="37"/>
        <v>2288616.8398498548</v>
      </c>
      <c r="Z156" s="3">
        <f t="shared" si="38"/>
        <v>-98527.523582121474</v>
      </c>
      <c r="AA156" s="3">
        <f t="shared" si="39"/>
        <v>2290736.7182955709</v>
      </c>
      <c r="AB156" s="3">
        <f t="shared" si="40"/>
        <v>2248616.8398498548</v>
      </c>
      <c r="AC156" s="3">
        <f t="shared" si="41"/>
        <v>-96027.523582121474</v>
      </c>
      <c r="AD156" s="3">
        <f t="shared" si="42"/>
        <v>2250666.340829236</v>
      </c>
      <c r="AE156" s="3">
        <f t="shared" si="43"/>
        <v>2263616.8398498548</v>
      </c>
      <c r="AF156" s="3">
        <f t="shared" si="47"/>
        <v>-121027.52358212147</v>
      </c>
      <c r="AG156" s="3">
        <f t="shared" si="44"/>
        <v>2266849.9860194246</v>
      </c>
      <c r="AH156" s="3">
        <f t="shared" si="45"/>
        <v>0.23685903190617949</v>
      </c>
      <c r="AI156" s="3">
        <f t="shared" si="46"/>
        <v>-1.1244539579964866E-2</v>
      </c>
    </row>
    <row r="157" spans="19:35" x14ac:dyDescent="0.3">
      <c r="S157" s="6">
        <v>140</v>
      </c>
      <c r="T157" s="4">
        <f t="shared" si="32"/>
        <v>70</v>
      </c>
      <c r="U157" s="3">
        <f t="shared" si="33"/>
        <v>-2301134.9066840117</v>
      </c>
      <c r="V157" s="3">
        <f t="shared" si="34"/>
        <v>108628.15733448259</v>
      </c>
      <c r="W157" s="3">
        <f t="shared" si="35"/>
        <v>-32493.255682785923</v>
      </c>
      <c r="X157" s="3">
        <f t="shared" si="36"/>
        <v>2599.4578184155848</v>
      </c>
      <c r="Y157" s="3">
        <f t="shared" si="37"/>
        <v>2304880.04799126</v>
      </c>
      <c r="Z157" s="3">
        <f t="shared" si="38"/>
        <v>-99828.037677524393</v>
      </c>
      <c r="AA157" s="3">
        <f t="shared" si="39"/>
        <v>2307040.890997543</v>
      </c>
      <c r="AB157" s="3">
        <f t="shared" si="40"/>
        <v>2264880.04799126</v>
      </c>
      <c r="AC157" s="3">
        <f t="shared" si="41"/>
        <v>-97328.037677524393</v>
      </c>
      <c r="AD157" s="3">
        <f t="shared" si="42"/>
        <v>2266970.3082985114</v>
      </c>
      <c r="AE157" s="3">
        <f t="shared" si="43"/>
        <v>2279880.04799126</v>
      </c>
      <c r="AF157" s="3">
        <f t="shared" si="47"/>
        <v>-122328.03767752439</v>
      </c>
      <c r="AG157" s="3">
        <f t="shared" si="44"/>
        <v>2283159.4736309298</v>
      </c>
      <c r="AH157" s="3">
        <f t="shared" si="45"/>
        <v>0.23349635173670388</v>
      </c>
      <c r="AI157" s="3">
        <f t="shared" si="46"/>
        <v>-1.1138753505259332E-2</v>
      </c>
    </row>
    <row r="158" spans="19:35" x14ac:dyDescent="0.3">
      <c r="S158" s="6">
        <v>141</v>
      </c>
      <c r="T158" s="4">
        <f t="shared" si="32"/>
        <v>70.5</v>
      </c>
      <c r="U158" s="3">
        <f t="shared" si="33"/>
        <v>-2317381.4761513169</v>
      </c>
      <c r="V158" s="3">
        <f t="shared" si="34"/>
        <v>109927.88345900201</v>
      </c>
      <c r="W158" s="3">
        <f t="shared" si="35"/>
        <v>-32476.794189988486</v>
      </c>
      <c r="X158" s="3">
        <f t="shared" si="36"/>
        <v>2598.672536293464</v>
      </c>
      <c r="Y158" s="3">
        <f t="shared" si="37"/>
        <v>2321134.9066840117</v>
      </c>
      <c r="Z158" s="3">
        <f t="shared" si="38"/>
        <v>-101128.15733448259</v>
      </c>
      <c r="AA158" s="3">
        <f t="shared" si="39"/>
        <v>2323336.8587514088</v>
      </c>
      <c r="AB158" s="3">
        <f t="shared" si="40"/>
        <v>2281134.9066840117</v>
      </c>
      <c r="AC158" s="3">
        <f t="shared" si="41"/>
        <v>-98628.157334482588</v>
      </c>
      <c r="AD158" s="3">
        <f t="shared" si="42"/>
        <v>2283266.0764596555</v>
      </c>
      <c r="AE158" s="3">
        <f t="shared" si="43"/>
        <v>2296134.9066840117</v>
      </c>
      <c r="AF158" s="3">
        <f t="shared" si="47"/>
        <v>-123628.15733448259</v>
      </c>
      <c r="AG158" s="3">
        <f t="shared" si="44"/>
        <v>2299460.6826338028</v>
      </c>
      <c r="AH158" s="3">
        <f t="shared" si="45"/>
        <v>0.23020641044469511</v>
      </c>
      <c r="AI158" s="3">
        <f t="shared" si="46"/>
        <v>-1.1034155211886604E-2</v>
      </c>
    </row>
    <row r="159" spans="19:35" x14ac:dyDescent="0.3">
      <c r="S159" s="6">
        <v>142</v>
      </c>
      <c r="T159" s="4">
        <f t="shared" si="32"/>
        <v>71</v>
      </c>
      <c r="U159" s="3">
        <f t="shared" si="33"/>
        <v>-2333619.8156947084</v>
      </c>
      <c r="V159" s="3">
        <f t="shared" si="34"/>
        <v>111227.21696860994</v>
      </c>
      <c r="W159" s="3">
        <f t="shared" si="35"/>
        <v>-32460.449534846914</v>
      </c>
      <c r="X159" s="3">
        <f t="shared" si="36"/>
        <v>2597.88911127342</v>
      </c>
      <c r="Y159" s="3">
        <f t="shared" si="37"/>
        <v>2337381.4761513169</v>
      </c>
      <c r="Z159" s="3">
        <f t="shared" si="38"/>
        <v>-102427.88345900201</v>
      </c>
      <c r="AA159" s="3">
        <f t="shared" si="39"/>
        <v>2339624.6785254255</v>
      </c>
      <c r="AB159" s="3">
        <f t="shared" si="40"/>
        <v>2297381.4761513169</v>
      </c>
      <c r="AC159" s="3">
        <f t="shared" si="41"/>
        <v>-99927.883459002012</v>
      </c>
      <c r="AD159" s="3">
        <f t="shared" si="42"/>
        <v>2299553.7021030406</v>
      </c>
      <c r="AE159" s="3">
        <f t="shared" si="43"/>
        <v>2312381.4761513169</v>
      </c>
      <c r="AF159" s="3">
        <f t="shared" si="47"/>
        <v>-124927.88345900201</v>
      </c>
      <c r="AG159" s="3">
        <f t="shared" si="44"/>
        <v>2315753.6715534511</v>
      </c>
      <c r="AH159" s="3">
        <f t="shared" si="45"/>
        <v>0.22698710377987547</v>
      </c>
      <c r="AI159" s="3">
        <f t="shared" si="46"/>
        <v>-1.0930740887441876E-2</v>
      </c>
    </row>
    <row r="160" spans="19:35" x14ac:dyDescent="0.3">
      <c r="S160" s="6">
        <v>143</v>
      </c>
      <c r="T160" s="4">
        <f t="shared" si="32"/>
        <v>71.5</v>
      </c>
      <c r="U160" s="3">
        <f t="shared" si="33"/>
        <v>-2349849.9837153559</v>
      </c>
      <c r="V160" s="3">
        <f t="shared" si="34"/>
        <v>112526.15879156142</v>
      </c>
      <c r="W160" s="3">
        <f t="shared" si="35"/>
        <v>-32444.219956926652</v>
      </c>
      <c r="X160" s="3">
        <f t="shared" si="36"/>
        <v>2597.1075632999678</v>
      </c>
      <c r="Y160" s="3">
        <f t="shared" si="37"/>
        <v>2353619.8156947084</v>
      </c>
      <c r="Z160" s="3">
        <f t="shared" si="38"/>
        <v>-103727.21696860994</v>
      </c>
      <c r="AA160" s="3">
        <f t="shared" si="39"/>
        <v>2355904.4064585571</v>
      </c>
      <c r="AB160" s="3">
        <f t="shared" si="40"/>
        <v>2313619.8156947084</v>
      </c>
      <c r="AC160" s="3">
        <f t="shared" si="41"/>
        <v>-101227.21696860994</v>
      </c>
      <c r="AD160" s="3">
        <f t="shared" si="42"/>
        <v>2315833.2411964438</v>
      </c>
      <c r="AE160" s="3">
        <f t="shared" si="43"/>
        <v>2328619.8156947084</v>
      </c>
      <c r="AF160" s="3">
        <f t="shared" si="47"/>
        <v>-126227.21696860994</v>
      </c>
      <c r="AG160" s="3">
        <f t="shared" si="44"/>
        <v>2332038.4980419381</v>
      </c>
      <c r="AH160" s="3">
        <f t="shared" si="45"/>
        <v>0.22383640347354011</v>
      </c>
      <c r="AI160" s="3">
        <f t="shared" si="46"/>
        <v>-1.0828505790092311E-2</v>
      </c>
    </row>
    <row r="161" spans="19:35" x14ac:dyDescent="0.3">
      <c r="S161" s="6">
        <v>144</v>
      </c>
      <c r="T161" s="4">
        <f t="shared" si="32"/>
        <v>72</v>
      </c>
      <c r="U161" s="3">
        <f t="shared" si="33"/>
        <v>-2366072.0377347185</v>
      </c>
      <c r="V161" s="3">
        <f t="shared" si="34"/>
        <v>113824.70986608496</v>
      </c>
      <c r="W161" s="3">
        <f t="shared" si="35"/>
        <v>-32428.103735876557</v>
      </c>
      <c r="X161" s="3">
        <f t="shared" si="36"/>
        <v>2596.3279108830811</v>
      </c>
      <c r="Y161" s="3">
        <f t="shared" si="37"/>
        <v>2369849.9837153559</v>
      </c>
      <c r="Z161" s="3">
        <f t="shared" si="38"/>
        <v>-105026.15879156142</v>
      </c>
      <c r="AA161" s="3">
        <f t="shared" si="39"/>
        <v>2372176.0978785246</v>
      </c>
      <c r="AB161" s="3">
        <f t="shared" si="40"/>
        <v>2329849.9837153559</v>
      </c>
      <c r="AC161" s="3">
        <f t="shared" si="41"/>
        <v>-102526.15879156142</v>
      </c>
      <c r="AD161" s="3">
        <f t="shared" si="42"/>
        <v>2332104.748902801</v>
      </c>
      <c r="AE161" s="3">
        <f t="shared" si="43"/>
        <v>2344849.9837153559</v>
      </c>
      <c r="AF161" s="3">
        <f t="shared" si="47"/>
        <v>-127526.15879156142</v>
      </c>
      <c r="AG161" s="3">
        <f t="shared" si="44"/>
        <v>2348315.2188975899</v>
      </c>
      <c r="AH161" s="3">
        <f t="shared" si="45"/>
        <v>0.22075235395786502</v>
      </c>
      <c r="AI161" s="3">
        <f t="shared" si="46"/>
        <v>-1.0727444333508467E-2</v>
      </c>
    </row>
    <row r="162" spans="19:35" x14ac:dyDescent="0.3">
      <c r="S162" s="6">
        <v>145</v>
      </c>
      <c r="T162" s="4">
        <f t="shared" si="32"/>
        <v>72.5</v>
      </c>
      <c r="U162" s="3">
        <f t="shared" si="33"/>
        <v>-2382286.034414568</v>
      </c>
      <c r="V162" s="3">
        <f t="shared" si="34"/>
        <v>115122.87113966543</v>
      </c>
      <c r="W162" s="3">
        <f t="shared" si="35"/>
        <v>-32412.099190214612</v>
      </c>
      <c r="X162" s="3">
        <f t="shared" si="36"/>
        <v>2595.5501711689017</v>
      </c>
      <c r="Y162" s="3">
        <f t="shared" si="37"/>
        <v>2386072.0377347185</v>
      </c>
      <c r="Z162" s="3">
        <f t="shared" si="38"/>
        <v>-106324.70986608496</v>
      </c>
      <c r="AA162" s="3">
        <f t="shared" si="39"/>
        <v>2388439.8073193342</v>
      </c>
      <c r="AB162" s="3">
        <f t="shared" si="40"/>
        <v>2346072.0377347185</v>
      </c>
      <c r="AC162" s="3">
        <f t="shared" si="41"/>
        <v>-103824.70986608496</v>
      </c>
      <c r="AD162" s="3">
        <f t="shared" si="42"/>
        <v>2348368.2795974552</v>
      </c>
      <c r="AE162" s="3">
        <f t="shared" si="43"/>
        <v>2361072.0377347185</v>
      </c>
      <c r="AF162" s="3">
        <f t="shared" si="47"/>
        <v>-128824.70986608496</v>
      </c>
      <c r="AG162" s="3">
        <f t="shared" si="44"/>
        <v>2364583.8900840161</v>
      </c>
      <c r="AH162" s="3">
        <f t="shared" si="45"/>
        <v>0.21773306924969632</v>
      </c>
      <c r="AI162" s="3">
        <f t="shared" si="46"/>
        <v>-1.0627550165344592E-2</v>
      </c>
    </row>
    <row r="163" spans="19:35" x14ac:dyDescent="0.3">
      <c r="S163" s="6">
        <v>146</v>
      </c>
      <c r="T163" s="4">
        <f t="shared" si="32"/>
        <v>73</v>
      </c>
      <c r="U163" s="3">
        <f t="shared" si="33"/>
        <v>-2398492.0295764082</v>
      </c>
      <c r="V163" s="3">
        <f t="shared" si="34"/>
        <v>116420.64356836233</v>
      </c>
      <c r="W163" s="3">
        <f t="shared" si="35"/>
        <v>-32396.204676159385</v>
      </c>
      <c r="X163" s="3">
        <f t="shared" si="36"/>
        <v>2594.7743600068316</v>
      </c>
      <c r="Y163" s="3">
        <f t="shared" si="37"/>
        <v>2402286.034414568</v>
      </c>
      <c r="Z163" s="3">
        <f t="shared" si="38"/>
        <v>-107622.87113966543</v>
      </c>
      <c r="AA163" s="3">
        <f t="shared" si="39"/>
        <v>2404695.5885383114</v>
      </c>
      <c r="AB163" s="3">
        <f t="shared" si="40"/>
        <v>2362286.034414568</v>
      </c>
      <c r="AC163" s="3">
        <f t="shared" si="41"/>
        <v>-105122.87113966543</v>
      </c>
      <c r="AD163" s="3">
        <f t="shared" si="42"/>
        <v>2364623.8868849212</v>
      </c>
      <c r="AE163" s="3">
        <f t="shared" si="43"/>
        <v>2377286.034414568</v>
      </c>
      <c r="AF163" s="3">
        <f t="shared" si="47"/>
        <v>-130122.87113966543</v>
      </c>
      <c r="AG163" s="3">
        <f t="shared" si="44"/>
        <v>2380844.5667485674</v>
      </c>
      <c r="AH163" s="3">
        <f t="shared" si="45"/>
        <v>0.21477672998945935</v>
      </c>
      <c r="AI163" s="3">
        <f t="shared" si="46"/>
        <v>-1.0528816239758484E-2</v>
      </c>
    </row>
    <row r="164" spans="19:35" x14ac:dyDescent="0.3">
      <c r="S164" s="6">
        <v>147</v>
      </c>
      <c r="T164" s="4">
        <f t="shared" si="32"/>
        <v>73.5</v>
      </c>
      <c r="U164" s="3">
        <f t="shared" si="33"/>
        <v>-2414690.0782203055</v>
      </c>
      <c r="V164" s="3">
        <f t="shared" si="34"/>
        <v>117718.02811616167</v>
      </c>
      <c r="W164" s="3">
        <f t="shared" si="35"/>
        <v>-32380.418586505159</v>
      </c>
      <c r="X164" s="3">
        <f t="shared" si="36"/>
        <v>2594.0004920132092</v>
      </c>
      <c r="Y164" s="3">
        <f t="shared" si="37"/>
        <v>2418492.0295764082</v>
      </c>
      <c r="Z164" s="3">
        <f t="shared" si="38"/>
        <v>-108920.64356836233</v>
      </c>
      <c r="AA164" s="3">
        <f t="shared" si="39"/>
        <v>2420943.4945326503</v>
      </c>
      <c r="AB164" s="3">
        <f t="shared" si="40"/>
        <v>2378492.0295764082</v>
      </c>
      <c r="AC164" s="3">
        <f t="shared" si="41"/>
        <v>-106420.64356836233</v>
      </c>
      <c r="AD164" s="3">
        <f t="shared" si="42"/>
        <v>2380871.6236151848</v>
      </c>
      <c r="AE164" s="3">
        <f t="shared" si="43"/>
        <v>2393492.0295764082</v>
      </c>
      <c r="AF164" s="3">
        <f t="shared" si="47"/>
        <v>-131420.64356836234</v>
      </c>
      <c r="AG164" s="3">
        <f t="shared" si="44"/>
        <v>2397097.3032402578</v>
      </c>
      <c r="AH164" s="3">
        <f t="shared" si="45"/>
        <v>0.21188158062641871</v>
      </c>
      <c r="AI164" s="3">
        <f t="shared" si="46"/>
        <v>-1.0431234884422325E-2</v>
      </c>
    </row>
    <row r="165" spans="19:35" x14ac:dyDescent="0.3">
      <c r="S165" s="6">
        <v>148</v>
      </c>
      <c r="T165" s="4">
        <f t="shared" si="32"/>
        <v>74</v>
      </c>
      <c r="U165" s="3">
        <f t="shared" si="33"/>
        <v>-2430880.2345431633</v>
      </c>
      <c r="V165" s="3">
        <f t="shared" si="34"/>
        <v>119015.02575435955</v>
      </c>
      <c r="W165" s="3">
        <f t="shared" si="35"/>
        <v>-32364.739349538802</v>
      </c>
      <c r="X165" s="3">
        <f t="shared" si="36"/>
        <v>2593.2285806317618</v>
      </c>
      <c r="Y165" s="3">
        <f t="shared" si="37"/>
        <v>2434690.0782203055</v>
      </c>
      <c r="Z165" s="3">
        <f t="shared" si="38"/>
        <v>-110218.02811616167</v>
      </c>
      <c r="AA165" s="3">
        <f t="shared" si="39"/>
        <v>2437183.5775554972</v>
      </c>
      <c r="AB165" s="3">
        <f t="shared" si="40"/>
        <v>2394690.0782203055</v>
      </c>
      <c r="AC165" s="3">
        <f t="shared" si="41"/>
        <v>-107718.02811616167</v>
      </c>
      <c r="AD165" s="3">
        <f t="shared" si="42"/>
        <v>2397111.5418995433</v>
      </c>
      <c r="AE165" s="3">
        <f t="shared" si="43"/>
        <v>2409690.0782203055</v>
      </c>
      <c r="AF165" s="3">
        <f t="shared" si="47"/>
        <v>-132718.02811616167</v>
      </c>
      <c r="AG165" s="3">
        <f t="shared" si="44"/>
        <v>2413342.1531271571</v>
      </c>
      <c r="AH165" s="3">
        <f t="shared" si="45"/>
        <v>0.20904592674204003</v>
      </c>
      <c r="AI165" s="3">
        <f t="shared" si="46"/>
        <v>-1.0334797862438683E-2</v>
      </c>
    </row>
    <row r="166" spans="19:35" x14ac:dyDescent="0.3">
      <c r="S166" s="6">
        <v>149</v>
      </c>
      <c r="T166" s="4">
        <f t="shared" si="32"/>
        <v>74.5</v>
      </c>
      <c r="U166" s="3">
        <f t="shared" si="33"/>
        <v>-2447062.551956451</v>
      </c>
      <c r="V166" s="3">
        <f t="shared" si="34"/>
        <v>120311.63746097597</v>
      </c>
      <c r="W166" s="3">
        <f t="shared" si="35"/>
        <v>-32349.165427996519</v>
      </c>
      <c r="X166" s="3">
        <f t="shared" si="36"/>
        <v>2592.4586381910103</v>
      </c>
      <c r="Y166" s="3">
        <f t="shared" si="37"/>
        <v>2450880.2345431633</v>
      </c>
      <c r="Z166" s="3">
        <f t="shared" si="38"/>
        <v>-111515.02575435955</v>
      </c>
      <c r="AA166" s="3">
        <f t="shared" si="39"/>
        <v>2453415.8891315893</v>
      </c>
      <c r="AB166" s="3">
        <f t="shared" si="40"/>
        <v>2410880.2345431633</v>
      </c>
      <c r="AC166" s="3">
        <f t="shared" si="41"/>
        <v>-109015.02575435955</v>
      </c>
      <c r="AD166" s="3">
        <f t="shared" si="42"/>
        <v>2413343.6931260168</v>
      </c>
      <c r="AE166" s="3">
        <f t="shared" si="43"/>
        <v>2425880.2345431633</v>
      </c>
      <c r="AF166" s="3">
        <f t="shared" si="47"/>
        <v>-134015.02575435955</v>
      </c>
      <c r="AG166" s="3">
        <f t="shared" si="44"/>
        <v>2429579.1692132889</v>
      </c>
      <c r="AH166" s="3">
        <f t="shared" si="45"/>
        <v>0.20626813250377185</v>
      </c>
      <c r="AI166" s="3">
        <f t="shared" si="46"/>
        <v>-1.0239496429545625E-2</v>
      </c>
    </row>
    <row r="167" spans="19:35" x14ac:dyDescent="0.3">
      <c r="S167" s="6">
        <v>150</v>
      </c>
      <c r="T167" s="4">
        <f t="shared" si="32"/>
        <v>75</v>
      </c>
      <c r="U167" s="3">
        <f t="shared" si="33"/>
        <v>-2463237.0831034165</v>
      </c>
      <c r="V167" s="3">
        <f t="shared" si="34"/>
        <v>121607.86422019737</v>
      </c>
      <c r="W167" s="3">
        <f t="shared" si="35"/>
        <v>-32333.695318058737</v>
      </c>
      <c r="X167" s="3">
        <f t="shared" si="36"/>
        <v>2591.6906759587946</v>
      </c>
      <c r="Y167" s="3">
        <f t="shared" si="37"/>
        <v>2467062.551956451</v>
      </c>
      <c r="Z167" s="3">
        <f t="shared" si="38"/>
        <v>-112811.63746097597</v>
      </c>
      <c r="AA167" s="3">
        <f t="shared" si="39"/>
        <v>2469640.4800724545</v>
      </c>
      <c r="AB167" s="3">
        <f t="shared" si="40"/>
        <v>2427062.551956451</v>
      </c>
      <c r="AC167" s="3">
        <f t="shared" si="41"/>
        <v>-110311.63746097597</v>
      </c>
      <c r="AD167" s="3">
        <f t="shared" si="42"/>
        <v>2429568.1279743286</v>
      </c>
      <c r="AE167" s="3">
        <f t="shared" si="43"/>
        <v>2442062.551956451</v>
      </c>
      <c r="AF167" s="3">
        <f t="shared" si="47"/>
        <v>-135311.63746097597</v>
      </c>
      <c r="AG167" s="3">
        <f t="shared" si="44"/>
        <v>2445808.4035550337</v>
      </c>
      <c r="AH167" s="3">
        <f t="shared" si="45"/>
        <v>0.2035466182420157</v>
      </c>
      <c r="AI167" s="3">
        <f t="shared" si="46"/>
        <v>-1.0145321386963477E-2</v>
      </c>
    </row>
    <row r="168" spans="19:35" x14ac:dyDescent="0.3">
      <c r="S168" s="6">
        <v>151</v>
      </c>
      <c r="T168" s="4">
        <f t="shared" si="32"/>
        <v>75.5</v>
      </c>
      <c r="U168" s="3">
        <f t="shared" si="33"/>
        <v>-2479403.8798757913</v>
      </c>
      <c r="V168" s="3">
        <f t="shared" si="34"/>
        <v>122903.70702184642</v>
      </c>
      <c r="W168" s="3">
        <f t="shared" si="35"/>
        <v>-32318.327548381465</v>
      </c>
      <c r="X168" s="3">
        <f t="shared" si="36"/>
        <v>2590.9247041940789</v>
      </c>
      <c r="Y168" s="3">
        <f t="shared" si="37"/>
        <v>2483237.0831034165</v>
      </c>
      <c r="Z168" s="3">
        <f t="shared" si="38"/>
        <v>-114107.86422019737</v>
      </c>
      <c r="AA168" s="3">
        <f t="shared" si="39"/>
        <v>2485857.4004911985</v>
      </c>
      <c r="AB168" s="3">
        <f t="shared" si="40"/>
        <v>2443237.0831034165</v>
      </c>
      <c r="AC168" s="3">
        <f t="shared" si="41"/>
        <v>-111607.86422019737</v>
      </c>
      <c r="AD168" s="3">
        <f t="shared" si="42"/>
        <v>2445784.8964304863</v>
      </c>
      <c r="AE168" s="3">
        <f t="shared" si="43"/>
        <v>2458237.0831034165</v>
      </c>
      <c r="AF168" s="3">
        <f t="shared" si="47"/>
        <v>-136607.86422019737</v>
      </c>
      <c r="AG168" s="3">
        <f t="shared" si="44"/>
        <v>2462029.9074770794</v>
      </c>
      <c r="AH168" s="3">
        <f t="shared" si="45"/>
        <v>0.20087985814349812</v>
      </c>
      <c r="AI168" s="3">
        <f t="shared" si="46"/>
        <v>-1.0052263130208162E-2</v>
      </c>
    </row>
    <row r="169" spans="19:35" x14ac:dyDescent="0.3">
      <c r="S169" s="6">
        <v>152</v>
      </c>
      <c r="T169" s="4">
        <f t="shared" si="32"/>
        <v>76</v>
      </c>
      <c r="U169" s="3">
        <f t="shared" si="33"/>
        <v>-2495562.9934300175</v>
      </c>
      <c r="V169" s="3">
        <f t="shared" si="34"/>
        <v>124199.16686087767</v>
      </c>
      <c r="W169" s="3">
        <f t="shared" si="35"/>
        <v>-32303.060679162558</v>
      </c>
      <c r="X169" s="3">
        <f t="shared" si="36"/>
        <v>2590.1607321961833</v>
      </c>
      <c r="Y169" s="3">
        <f t="shared" si="37"/>
        <v>2499403.8798757913</v>
      </c>
      <c r="Z169" s="3">
        <f t="shared" si="38"/>
        <v>-115403.70702184642</v>
      </c>
      <c r="AA169" s="3">
        <f t="shared" si="39"/>
        <v>2502066.6998168821</v>
      </c>
      <c r="AB169" s="3">
        <f t="shared" si="40"/>
        <v>2459403.8798757913</v>
      </c>
      <c r="AC169" s="3">
        <f t="shared" si="41"/>
        <v>-112903.70702184642</v>
      </c>
      <c r="AD169" s="3">
        <f t="shared" si="42"/>
        <v>2461994.0478009633</v>
      </c>
      <c r="AE169" s="3">
        <f t="shared" si="43"/>
        <v>2474403.8798757913</v>
      </c>
      <c r="AF169" s="3">
        <f t="shared" si="47"/>
        <v>-137903.70702184644</v>
      </c>
      <c r="AG169" s="3">
        <f t="shared" si="44"/>
        <v>2478243.7315879036</v>
      </c>
      <c r="AH169" s="3">
        <f t="shared" si="45"/>
        <v>0.19826637805470332</v>
      </c>
      <c r="AI169" s="3">
        <f t="shared" si="46"/>
        <v>-9.960311694172273E-3</v>
      </c>
    </row>
    <row r="170" spans="19:35" x14ac:dyDescent="0.3">
      <c r="S170" s="6">
        <v>153</v>
      </c>
      <c r="T170" s="4">
        <f t="shared" si="32"/>
        <v>76.5</v>
      </c>
      <c r="U170" s="3">
        <f t="shared" si="33"/>
        <v>-2511714.4742030045</v>
      </c>
      <c r="V170" s="3">
        <f t="shared" si="34"/>
        <v>125494.24473689783</v>
      </c>
      <c r="W170" s="3">
        <f t="shared" si="35"/>
        <v>-32287.893301241373</v>
      </c>
      <c r="X170" s="3">
        <f t="shared" si="36"/>
        <v>2589.3987683515793</v>
      </c>
      <c r="Y170" s="3">
        <f t="shared" si="37"/>
        <v>2515562.9934300175</v>
      </c>
      <c r="Z170" s="3">
        <f t="shared" si="38"/>
        <v>-116699.16686087767</v>
      </c>
      <c r="AA170" s="3">
        <f t="shared" si="39"/>
        <v>2518268.4268085109</v>
      </c>
      <c r="AB170" s="3">
        <f t="shared" si="40"/>
        <v>2475562.9934300175</v>
      </c>
      <c r="AC170" s="3">
        <f t="shared" si="41"/>
        <v>-114199.16686087767</v>
      </c>
      <c r="AD170" s="3">
        <f t="shared" si="42"/>
        <v>2478195.6307264986</v>
      </c>
      <c r="AE170" s="3">
        <f t="shared" si="43"/>
        <v>2490562.9934300175</v>
      </c>
      <c r="AF170" s="3">
        <f t="shared" si="47"/>
        <v>-139199.16686087765</v>
      </c>
      <c r="AG170" s="3">
        <f t="shared" si="44"/>
        <v>2494449.9257948338</v>
      </c>
      <c r="AH170" s="3">
        <f t="shared" si="45"/>
        <v>0.19570475338937668</v>
      </c>
      <c r="AI170" s="3">
        <f t="shared" si="46"/>
        <v>-9.8694567947500006E-3</v>
      </c>
    </row>
    <row r="171" spans="19:35" x14ac:dyDescent="0.3">
      <c r="S171" s="6">
        <v>154</v>
      </c>
      <c r="T171" s="4">
        <f t="shared" si="32"/>
        <v>77</v>
      </c>
      <c r="U171" s="3">
        <f t="shared" si="33"/>
        <v>-2527858.3719274369</v>
      </c>
      <c r="V171" s="3">
        <f t="shared" si="34"/>
        <v>126788.94165370942</v>
      </c>
      <c r="W171" s="3">
        <f t="shared" si="35"/>
        <v>-32272.824035230391</v>
      </c>
      <c r="X171" s="3">
        <f t="shared" si="36"/>
        <v>2588.6388201783834</v>
      </c>
      <c r="Y171" s="3">
        <f t="shared" si="37"/>
        <v>2531714.4742030045</v>
      </c>
      <c r="Z171" s="3">
        <f t="shared" si="38"/>
        <v>-117994.24473689783</v>
      </c>
      <c r="AA171" s="3">
        <f t="shared" si="39"/>
        <v>2534462.6295686481</v>
      </c>
      <c r="AB171" s="3">
        <f t="shared" si="40"/>
        <v>2491714.4742030045</v>
      </c>
      <c r="AC171" s="3">
        <f t="shared" si="41"/>
        <v>-115494.24473689783</v>
      </c>
      <c r="AD171" s="3">
        <f t="shared" si="42"/>
        <v>2494389.6931955321</v>
      </c>
      <c r="AE171" s="3">
        <f t="shared" si="43"/>
        <v>2506714.4742030045</v>
      </c>
      <c r="AF171" s="3">
        <f t="shared" si="47"/>
        <v>-140494.24473689782</v>
      </c>
      <c r="AG171" s="3">
        <f t="shared" si="44"/>
        <v>2510648.5393186831</v>
      </c>
      <c r="AH171" s="3">
        <f t="shared" si="45"/>
        <v>0.19319360713450182</v>
      </c>
      <c r="AI171" s="3">
        <f t="shared" si="46"/>
        <v>-9.7796878672622971E-3</v>
      </c>
    </row>
    <row r="172" spans="19:35" x14ac:dyDescent="0.3">
      <c r="S172" s="6">
        <v>155</v>
      </c>
      <c r="T172" s="4">
        <f t="shared" si="32"/>
        <v>77.5</v>
      </c>
      <c r="U172" s="3">
        <f t="shared" si="33"/>
        <v>-2543994.7356466502</v>
      </c>
      <c r="V172" s="3">
        <f t="shared" si="34"/>
        <v>128083.25861887664</v>
      </c>
      <c r="W172" s="3">
        <f t="shared" si="35"/>
        <v>-32257.851530677468</v>
      </c>
      <c r="X172" s="3">
        <f t="shared" si="36"/>
        <v>2587.8808943686704</v>
      </c>
      <c r="Y172" s="3">
        <f t="shared" si="37"/>
        <v>2547858.3719274369</v>
      </c>
      <c r="Z172" s="3">
        <f t="shared" si="38"/>
        <v>-119288.94165370942</v>
      </c>
      <c r="AA172" s="3">
        <f t="shared" si="39"/>
        <v>2550649.3555566575</v>
      </c>
      <c r="AB172" s="3">
        <f t="shared" si="40"/>
        <v>2507858.3719274369</v>
      </c>
      <c r="AC172" s="3">
        <f t="shared" si="41"/>
        <v>-116788.94165370942</v>
      </c>
      <c r="AD172" s="3">
        <f t="shared" si="42"/>
        <v>2510576.2825572793</v>
      </c>
      <c r="AE172" s="3">
        <f t="shared" si="43"/>
        <v>2522858.3719274369</v>
      </c>
      <c r="AF172" s="3">
        <f t="shared" si="47"/>
        <v>-141788.94165370942</v>
      </c>
      <c r="AG172" s="3">
        <f t="shared" si="44"/>
        <v>2526839.6207079776</v>
      </c>
      <c r="AH172" s="3">
        <f t="shared" si="45"/>
        <v>0.19073160794948363</v>
      </c>
      <c r="AI172" s="3">
        <f t="shared" si="46"/>
        <v>-9.6909941019187023E-3</v>
      </c>
    </row>
    <row r="173" spans="19:35" x14ac:dyDescent="0.3">
      <c r="S173" s="6">
        <v>156</v>
      </c>
      <c r="T173" s="4">
        <f t="shared" si="32"/>
        <v>78</v>
      </c>
      <c r="U173" s="3">
        <f t="shared" si="33"/>
        <v>-2560123.6137290872</v>
      </c>
      <c r="V173" s="3">
        <f t="shared" si="34"/>
        <v>129377.19664331245</v>
      </c>
      <c r="W173" s="3">
        <f t="shared" si="35"/>
        <v>-32242.974465257408</v>
      </c>
      <c r="X173" s="3">
        <f t="shared" si="36"/>
        <v>2587.1249968287207</v>
      </c>
      <c r="Y173" s="3">
        <f t="shared" si="37"/>
        <v>2563994.7356466502</v>
      </c>
      <c r="Z173" s="3">
        <f t="shared" si="38"/>
        <v>-120583.25861887664</v>
      </c>
      <c r="AA173" s="3">
        <f t="shared" si="39"/>
        <v>2566828.6516015986</v>
      </c>
      <c r="AB173" s="3">
        <f t="shared" si="40"/>
        <v>2523994.7356466502</v>
      </c>
      <c r="AC173" s="3">
        <f t="shared" si="41"/>
        <v>-118083.25861887664</v>
      </c>
      <c r="AD173" s="3">
        <f t="shared" si="42"/>
        <v>2526755.4455344616</v>
      </c>
      <c r="AE173" s="3">
        <f t="shared" si="43"/>
        <v>2538994.7356466502</v>
      </c>
      <c r="AF173" s="3">
        <f t="shared" si="47"/>
        <v>-143083.25861887663</v>
      </c>
      <c r="AG173" s="3">
        <f t="shared" si="44"/>
        <v>2543023.2178527978</v>
      </c>
      <c r="AH173" s="3">
        <f t="shared" si="45"/>
        <v>0.18831746835356603</v>
      </c>
      <c r="AI173" s="3">
        <f t="shared" si="46"/>
        <v>-9.6033644765332483E-3</v>
      </c>
    </row>
    <row r="174" spans="19:35" x14ac:dyDescent="0.3">
      <c r="S174" s="6">
        <v>157</v>
      </c>
      <c r="T174" s="4">
        <f t="shared" si="32"/>
        <v>78.5</v>
      </c>
      <c r="U174" s="3">
        <f t="shared" si="33"/>
        <v>-2576245.0538823488</v>
      </c>
      <c r="V174" s="3">
        <f t="shared" si="34"/>
        <v>130670.7567408857</v>
      </c>
      <c r="W174" s="3">
        <f t="shared" si="35"/>
        <v>-32228.191543991652</v>
      </c>
      <c r="X174" s="3">
        <f t="shared" si="36"/>
        <v>2586.3711327173128</v>
      </c>
      <c r="Y174" s="3">
        <f t="shared" si="37"/>
        <v>2580123.6137290872</v>
      </c>
      <c r="Z174" s="3">
        <f t="shared" si="38"/>
        <v>-121877.19664331245</v>
      </c>
      <c r="AA174" s="3">
        <f t="shared" si="39"/>
        <v>2583000.563914781</v>
      </c>
      <c r="AB174" s="3">
        <f t="shared" si="40"/>
        <v>2540123.6137290872</v>
      </c>
      <c r="AC174" s="3">
        <f t="shared" si="41"/>
        <v>-119377.19664331245</v>
      </c>
      <c r="AD174" s="3">
        <f t="shared" si="42"/>
        <v>2542927.2282357067</v>
      </c>
      <c r="AE174" s="3">
        <f t="shared" si="43"/>
        <v>2555123.6137290872</v>
      </c>
      <c r="AF174" s="3">
        <f t="shared" si="47"/>
        <v>-144377.19664331246</v>
      </c>
      <c r="AG174" s="3">
        <f t="shared" si="44"/>
        <v>2559199.3779982384</v>
      </c>
      <c r="AH174" s="3">
        <f t="shared" si="45"/>
        <v>0.1859499429968465</v>
      </c>
      <c r="AI174" s="3">
        <f t="shared" si="46"/>
        <v>-9.516787786697397E-3</v>
      </c>
    </row>
    <row r="175" spans="19:35" x14ac:dyDescent="0.3">
      <c r="S175" s="6">
        <v>158</v>
      </c>
      <c r="T175" s="4">
        <f t="shared" si="32"/>
        <v>79</v>
      </c>
      <c r="U175" s="3">
        <f t="shared" si="33"/>
        <v>-2592359.1031668591</v>
      </c>
      <c r="V175" s="3">
        <f t="shared" si="34"/>
        <v>131963.93992804739</v>
      </c>
      <c r="W175" s="3">
        <f t="shared" si="35"/>
        <v>-32213.501498494901</v>
      </c>
      <c r="X175" s="3">
        <f t="shared" si="36"/>
        <v>2585.6193064821637</v>
      </c>
      <c r="Y175" s="3">
        <f t="shared" si="37"/>
        <v>2596245.0538823488</v>
      </c>
      <c r="Z175" s="3">
        <f t="shared" si="38"/>
        <v>-123170.7567408857</v>
      </c>
      <c r="AA175" s="3">
        <f t="shared" si="39"/>
        <v>2599165.1381019796</v>
      </c>
      <c r="AB175" s="3">
        <f t="shared" si="40"/>
        <v>2556245.0538823488</v>
      </c>
      <c r="AC175" s="3">
        <f t="shared" si="41"/>
        <v>-120670.7567408857</v>
      </c>
      <c r="AD175" s="3">
        <f t="shared" si="42"/>
        <v>2559091.6761676185</v>
      </c>
      <c r="AE175" s="3">
        <f t="shared" si="43"/>
        <v>2571245.0538823488</v>
      </c>
      <c r="AF175" s="3">
        <f t="shared" si="47"/>
        <v>-145670.7567408857</v>
      </c>
      <c r="AG175" s="3">
        <f t="shared" si="44"/>
        <v>2575368.1477575013</v>
      </c>
      <c r="AH175" s="3">
        <f t="shared" si="45"/>
        <v>0.18362782701048513</v>
      </c>
      <c r="AI175" s="3">
        <f t="shared" si="46"/>
        <v>-9.4312526735955728E-3</v>
      </c>
    </row>
    <row r="176" spans="19:35" x14ac:dyDescent="0.3">
      <c r="S176" s="6">
        <v>159</v>
      </c>
      <c r="T176" s="4">
        <f t="shared" si="32"/>
        <v>79.5</v>
      </c>
      <c r="U176" s="3">
        <f t="shared" si="33"/>
        <v>-2608465.80800915</v>
      </c>
      <c r="V176" s="3">
        <f t="shared" si="34"/>
        <v>133256.74722347528</v>
      </c>
      <c r="W176" s="3">
        <f t="shared" si="35"/>
        <v>-32198.903086247567</v>
      </c>
      <c r="X176" s="3">
        <f t="shared" si="36"/>
        <v>2584.8695218946127</v>
      </c>
      <c r="Y176" s="3">
        <f t="shared" si="37"/>
        <v>2612359.1031668591</v>
      </c>
      <c r="Z176" s="3">
        <f t="shared" si="38"/>
        <v>-124463.93992804739</v>
      </c>
      <c r="AA176" s="3">
        <f t="shared" si="39"/>
        <v>2615322.4191753431</v>
      </c>
      <c r="AB176" s="3">
        <f t="shared" si="40"/>
        <v>2572359.1031668591</v>
      </c>
      <c r="AC176" s="3">
        <f t="shared" si="41"/>
        <v>-121963.93992804739</v>
      </c>
      <c r="AD176" s="3">
        <f t="shared" si="42"/>
        <v>2575248.8342465432</v>
      </c>
      <c r="AE176" s="3">
        <f t="shared" si="43"/>
        <v>2587359.1031668591</v>
      </c>
      <c r="AF176" s="3">
        <f t="shared" si="47"/>
        <v>-146963.93992804739</v>
      </c>
      <c r="AG176" s="3">
        <f t="shared" si="44"/>
        <v>2591529.573124642</v>
      </c>
      <c r="AH176" s="3">
        <f t="shared" si="45"/>
        <v>0.18134995443199231</v>
      </c>
      <c r="AI176" s="3">
        <f t="shared" si="46"/>
        <v>-9.346747649636486E-3</v>
      </c>
    </row>
    <row r="177" spans="19:35" x14ac:dyDescent="0.3">
      <c r="S177" s="6">
        <v>160</v>
      </c>
      <c r="T177" s="4">
        <f t="shared" si="32"/>
        <v>80</v>
      </c>
      <c r="U177" s="3">
        <f t="shared" si="33"/>
        <v>-2624565.2142147855</v>
      </c>
      <c r="V177" s="3">
        <f t="shared" si="34"/>
        <v>134549.17964773567</v>
      </c>
      <c r="W177" s="3">
        <f t="shared" si="35"/>
        <v>-32184.395089893009</v>
      </c>
      <c r="X177" s="3">
        <f t="shared" si="36"/>
        <v>2584.1217820826419</v>
      </c>
      <c r="Y177" s="3">
        <f t="shared" si="37"/>
        <v>2628465.80800915</v>
      </c>
      <c r="Z177" s="3">
        <f t="shared" si="38"/>
        <v>-125756.74722347528</v>
      </c>
      <c r="AA177" s="3">
        <f t="shared" si="39"/>
        <v>2631472.451564983</v>
      </c>
      <c r="AB177" s="3">
        <f t="shared" si="40"/>
        <v>2588465.80800915</v>
      </c>
      <c r="AC177" s="3">
        <f t="shared" si="41"/>
        <v>-123256.74722347528</v>
      </c>
      <c r="AD177" s="3">
        <f t="shared" si="42"/>
        <v>2591398.746810026</v>
      </c>
      <c r="AE177" s="3">
        <f t="shared" si="43"/>
        <v>2603465.80800915</v>
      </c>
      <c r="AF177" s="3">
        <f t="shared" si="47"/>
        <v>-148256.74722347528</v>
      </c>
      <c r="AG177" s="3">
        <f t="shared" si="44"/>
        <v>2607683.6994869644</v>
      </c>
      <c r="AH177" s="3">
        <f t="shared" si="45"/>
        <v>0.17911519670170389</v>
      </c>
      <c r="AI177" s="3">
        <f t="shared" si="46"/>
        <v>-9.2632611220595761E-3</v>
      </c>
    </row>
    <row r="178" spans="19:35" x14ac:dyDescent="0.3">
      <c r="S178" s="6">
        <v>161</v>
      </c>
      <c r="T178" s="4">
        <f t="shared" si="32"/>
        <v>80.5</v>
      </c>
      <c r="U178" s="3">
        <f t="shared" si="33"/>
        <v>-2640657.3669809327</v>
      </c>
      <c r="V178" s="3">
        <f t="shared" si="34"/>
        <v>135841.23822296172</v>
      </c>
      <c r="W178" s="3">
        <f t="shared" si="35"/>
        <v>-32169.976316558521</v>
      </c>
      <c r="X178" s="3">
        <f t="shared" si="36"/>
        <v>2583.3760895623159</v>
      </c>
      <c r="Y178" s="3">
        <f t="shared" si="37"/>
        <v>2644565.2142147855</v>
      </c>
      <c r="Z178" s="3">
        <f t="shared" si="38"/>
        <v>-127049.17964773567</v>
      </c>
      <c r="AA178" s="3">
        <f t="shared" si="39"/>
        <v>2647615.2791302702</v>
      </c>
      <c r="AB178" s="3">
        <f t="shared" si="40"/>
        <v>2604565.2142147855</v>
      </c>
      <c r="AC178" s="3">
        <f t="shared" si="41"/>
        <v>-124549.17964773567</v>
      </c>
      <c r="AD178" s="3">
        <f t="shared" si="42"/>
        <v>2607541.4576279772</v>
      </c>
      <c r="AE178" s="3">
        <f t="shared" si="43"/>
        <v>2619565.2142147855</v>
      </c>
      <c r="AF178" s="3">
        <f t="shared" si="47"/>
        <v>-149549.17964773567</v>
      </c>
      <c r="AG178" s="3">
        <f t="shared" si="44"/>
        <v>2623830.5716370991</v>
      </c>
      <c r="AH178" s="3">
        <f t="shared" si="45"/>
        <v>0.17692246122677768</v>
      </c>
      <c r="AI178" s="3">
        <f t="shared" si="46"/>
        <v>-9.1807814146640659E-3</v>
      </c>
    </row>
    <row r="179" spans="19:35" x14ac:dyDescent="0.3">
      <c r="S179" s="6">
        <v>162</v>
      </c>
      <c r="T179" s="4">
        <f t="shared" si="32"/>
        <v>81</v>
      </c>
      <c r="U179" s="3">
        <f t="shared" si="33"/>
        <v>-2656742.3109085965</v>
      </c>
      <c r="V179" s="3">
        <f t="shared" si="34"/>
        <v>137132.92397254752</v>
      </c>
      <c r="W179" s="3">
        <f t="shared" si="35"/>
        <v>-32155.645597199153</v>
      </c>
      <c r="X179" s="3">
        <f t="shared" si="36"/>
        <v>2582.632446267728</v>
      </c>
      <c r="Y179" s="3">
        <f t="shared" si="37"/>
        <v>2660657.3669809327</v>
      </c>
      <c r="Z179" s="3">
        <f t="shared" si="38"/>
        <v>-128341.23822296172</v>
      </c>
      <c r="AA179" s="3">
        <f t="shared" si="39"/>
        <v>2663750.9451708342</v>
      </c>
      <c r="AB179" s="3">
        <f t="shared" si="40"/>
        <v>2620657.3669809327</v>
      </c>
      <c r="AC179" s="3">
        <f t="shared" si="41"/>
        <v>-125841.23822296172</v>
      </c>
      <c r="AD179" s="3">
        <f t="shared" si="42"/>
        <v>2623677.009913553</v>
      </c>
      <c r="AE179" s="3">
        <f t="shared" si="43"/>
        <v>2635657.3669809327</v>
      </c>
      <c r="AF179" s="3">
        <f t="shared" si="47"/>
        <v>-150841.23822296172</v>
      </c>
      <c r="AG179" s="3">
        <f t="shared" si="44"/>
        <v>2639970.2337847482</v>
      </c>
      <c r="AH179" s="3">
        <f t="shared" si="45"/>
        <v>0.17477069000927931</v>
      </c>
      <c r="AI179" s="3">
        <f t="shared" si="46"/>
        <v>-9.0992967877983836E-3</v>
      </c>
    </row>
    <row r="180" spans="19:35" x14ac:dyDescent="0.3">
      <c r="S180" s="6">
        <v>163</v>
      </c>
      <c r="T180" s="4">
        <f t="shared" si="32"/>
        <v>81.5</v>
      </c>
      <c r="U180" s="3">
        <f t="shared" si="33"/>
        <v>-2672820.0900145234</v>
      </c>
      <c r="V180" s="3">
        <f t="shared" si="34"/>
        <v>138424.23792085718</v>
      </c>
      <c r="W180" s="3">
        <f t="shared" si="35"/>
        <v>-32141.401785963397</v>
      </c>
      <c r="X180" s="3">
        <f t="shared" si="36"/>
        <v>2581.8908535795226</v>
      </c>
      <c r="Y180" s="3">
        <f t="shared" si="37"/>
        <v>2676742.3109085965</v>
      </c>
      <c r="Z180" s="3">
        <f t="shared" si="38"/>
        <v>-129632.92397254752</v>
      </c>
      <c r="AA180" s="3">
        <f t="shared" si="39"/>
        <v>2679879.4924372933</v>
      </c>
      <c r="AB180" s="3">
        <f t="shared" si="40"/>
        <v>2636742.3109085965</v>
      </c>
      <c r="AC180" s="3">
        <f t="shared" si="41"/>
        <v>-127132.92397254752</v>
      </c>
      <c r="AD180" s="3">
        <f t="shared" si="42"/>
        <v>2639805.4463337664</v>
      </c>
      <c r="AE180" s="3">
        <f t="shared" si="43"/>
        <v>2651742.3109085965</v>
      </c>
      <c r="AF180" s="3">
        <f t="shared" si="47"/>
        <v>-152132.92397254752</v>
      </c>
      <c r="AG180" s="3">
        <f t="shared" si="44"/>
        <v>2656102.7295681355</v>
      </c>
      <c r="AH180" s="3">
        <f t="shared" si="45"/>
        <v>0.1726588583350776</v>
      </c>
      <c r="AI180" s="3">
        <f t="shared" si="46"/>
        <v>-9.0187954567351753E-3</v>
      </c>
    </row>
    <row r="181" spans="19:35" x14ac:dyDescent="0.3">
      <c r="S181" s="6">
        <v>164</v>
      </c>
      <c r="T181" s="4">
        <f t="shared" si="32"/>
        <v>82</v>
      </c>
      <c r="U181" s="3">
        <f t="shared" si="33"/>
        <v>-2688890.7477427903</v>
      </c>
      <c r="V181" s="3">
        <f t="shared" si="34"/>
        <v>139715.18109294807</v>
      </c>
      <c r="W181" s="3">
        <f t="shared" si="35"/>
        <v>-32127.24375957992</v>
      </c>
      <c r="X181" s="3">
        <f t="shared" si="36"/>
        <v>2581.1513123520704</v>
      </c>
      <c r="Y181" s="3">
        <f t="shared" si="37"/>
        <v>2692820.0900145234</v>
      </c>
      <c r="Z181" s="3">
        <f t="shared" si="38"/>
        <v>-130924.23792085718</v>
      </c>
      <c r="AA181" s="3">
        <f t="shared" si="39"/>
        <v>2696000.9631417016</v>
      </c>
      <c r="AB181" s="3">
        <f t="shared" si="40"/>
        <v>2652820.0900145234</v>
      </c>
      <c r="AC181" s="3">
        <f t="shared" si="41"/>
        <v>-128424.23792085718</v>
      </c>
      <c r="AD181" s="3">
        <f t="shared" si="42"/>
        <v>2655926.8090198226</v>
      </c>
      <c r="AE181" s="3">
        <f t="shared" si="43"/>
        <v>2667820.0900145234</v>
      </c>
      <c r="AF181" s="3">
        <f t="shared" si="47"/>
        <v>-153424.23792085718</v>
      </c>
      <c r="AG181" s="3">
        <f t="shared" si="44"/>
        <v>2672228.1020651464</v>
      </c>
      <c r="AH181" s="3">
        <f t="shared" si="45"/>
        <v>0.1705859735205025</v>
      </c>
      <c r="AI181" s="3">
        <f t="shared" si="46"/>
        <v>-8.9392656085503404E-3</v>
      </c>
    </row>
    <row r="182" spans="19:35" x14ac:dyDescent="0.3">
      <c r="S182" s="6">
        <v>165</v>
      </c>
      <c r="T182" s="4">
        <f t="shared" si="32"/>
        <v>82.5</v>
      </c>
      <c r="U182" s="3">
        <f t="shared" si="33"/>
        <v>-2704954.3269760869</v>
      </c>
      <c r="V182" s="3">
        <f t="shared" si="34"/>
        <v>141005.75451430769</v>
      </c>
      <c r="W182" s="3">
        <f t="shared" si="35"/>
        <v>-32113.170416764478</v>
      </c>
      <c r="X182" s="3">
        <f t="shared" si="36"/>
        <v>2580.4138229393648</v>
      </c>
      <c r="Y182" s="3">
        <f t="shared" si="37"/>
        <v>2708890.7477427903</v>
      </c>
      <c r="Z182" s="3">
        <f t="shared" si="38"/>
        <v>-132215.18109294807</v>
      </c>
      <c r="AA182" s="3">
        <f t="shared" si="39"/>
        <v>2712115.3989677383</v>
      </c>
      <c r="AB182" s="3">
        <f t="shared" si="40"/>
        <v>2668890.7477427903</v>
      </c>
      <c r="AC182" s="3">
        <f t="shared" si="41"/>
        <v>-129715.18109294807</v>
      </c>
      <c r="AD182" s="3">
        <f t="shared" si="42"/>
        <v>2672041.1395772048</v>
      </c>
      <c r="AE182" s="3">
        <f t="shared" si="43"/>
        <v>2683890.7477427903</v>
      </c>
      <c r="AF182" s="3">
        <f t="shared" si="47"/>
        <v>-154715.18109294807</v>
      </c>
      <c r="AG182" s="3">
        <f t="shared" si="44"/>
        <v>2688346.393804187</v>
      </c>
      <c r="AH182" s="3">
        <f t="shared" si="45"/>
        <v>0.16855107371386463</v>
      </c>
      <c r="AI182" s="3">
        <f t="shared" si="46"/>
        <v>-8.8606954176145246E-3</v>
      </c>
    </row>
    <row r="183" spans="19:35" x14ac:dyDescent="0.3">
      <c r="S183" s="6">
        <v>166</v>
      </c>
      <c r="T183" s="4">
        <f t="shared" si="32"/>
        <v>83</v>
      </c>
      <c r="U183" s="3">
        <f t="shared" si="33"/>
        <v>-2721010.8700467008</v>
      </c>
      <c r="V183" s="3">
        <f t="shared" si="34"/>
        <v>142295.95921060353</v>
      </c>
      <c r="W183" s="3">
        <f t="shared" si="35"/>
        <v>-32099.180677646229</v>
      </c>
      <c r="X183" s="3">
        <f t="shared" si="36"/>
        <v>2579.6783852197027</v>
      </c>
      <c r="Y183" s="3">
        <f t="shared" si="37"/>
        <v>2724954.3269760869</v>
      </c>
      <c r="Z183" s="3">
        <f t="shared" si="38"/>
        <v>-133505.75451430769</v>
      </c>
      <c r="AA183" s="3">
        <f t="shared" si="39"/>
        <v>2728222.8410806428</v>
      </c>
      <c r="AB183" s="3">
        <f t="shared" si="40"/>
        <v>2684954.3269760869</v>
      </c>
      <c r="AC183" s="3">
        <f t="shared" si="41"/>
        <v>-131005.75451430769</v>
      </c>
      <c r="AD183" s="3">
        <f t="shared" si="42"/>
        <v>2688148.4790955046</v>
      </c>
      <c r="AE183" s="3">
        <f t="shared" si="43"/>
        <v>2699954.3269760869</v>
      </c>
      <c r="AF183" s="3">
        <f t="shared" si="47"/>
        <v>-156005.75451430769</v>
      </c>
      <c r="AG183" s="3">
        <f t="shared" si="44"/>
        <v>2704457.64677476</v>
      </c>
      <c r="AH183" s="3">
        <f t="shared" si="45"/>
        <v>0.16655322674909895</v>
      </c>
      <c r="AI183" s="3">
        <f t="shared" si="46"/>
        <v>-8.783073059797461E-3</v>
      </c>
    </row>
    <row r="184" spans="19:35" x14ac:dyDescent="0.3">
      <c r="S184" s="6">
        <v>167</v>
      </c>
      <c r="T184" s="4">
        <f t="shared" si="32"/>
        <v>83.5</v>
      </c>
      <c r="U184" s="3">
        <f t="shared" si="33"/>
        <v>-2737060.4187472169</v>
      </c>
      <c r="V184" s="3">
        <f t="shared" si="34"/>
        <v>143585.79620744512</v>
      </c>
      <c r="W184" s="3">
        <f t="shared" si="35"/>
        <v>-32085.273483212681</v>
      </c>
      <c r="X184" s="3">
        <f t="shared" si="36"/>
        <v>2578.9449986192094</v>
      </c>
      <c r="Y184" s="3">
        <f t="shared" si="37"/>
        <v>2741010.8700467008</v>
      </c>
      <c r="Z184" s="3">
        <f t="shared" si="38"/>
        <v>-134795.95921060353</v>
      </c>
      <c r="AA184" s="3">
        <f t="shared" si="39"/>
        <v>2744323.3301368989</v>
      </c>
      <c r="AB184" s="3">
        <f t="shared" si="40"/>
        <v>2701010.8700467008</v>
      </c>
      <c r="AC184" s="3">
        <f t="shared" si="41"/>
        <v>-132295.95921060353</v>
      </c>
      <c r="AD184" s="3">
        <f t="shared" si="42"/>
        <v>2704248.8681580122</v>
      </c>
      <c r="AE184" s="3">
        <f t="shared" si="43"/>
        <v>2716010.8700467008</v>
      </c>
      <c r="AF184" s="3">
        <f t="shared" si="47"/>
        <v>-157295.95921060353</v>
      </c>
      <c r="AG184" s="3">
        <f t="shared" si="44"/>
        <v>2720561.9024377703</v>
      </c>
      <c r="AH184" s="3">
        <f t="shared" si="45"/>
        <v>0.16459152904896035</v>
      </c>
      <c r="AI184" s="3">
        <f t="shared" si="46"/>
        <v>-8.7063867254790987E-3</v>
      </c>
    </row>
    <row r="185" spans="19:35" x14ac:dyDescent="0.3">
      <c r="S185" s="6">
        <v>168</v>
      </c>
      <c r="T185" s="4">
        <f t="shared" si="32"/>
        <v>84</v>
      </c>
      <c r="U185" s="3">
        <f t="shared" si="33"/>
        <v>-2753103.0143409413</v>
      </c>
      <c r="V185" s="3">
        <f t="shared" si="34"/>
        <v>144875.26653015803</v>
      </c>
      <c r="W185" s="3">
        <f t="shared" si="35"/>
        <v>-32071.447794772568</v>
      </c>
      <c r="X185" s="3">
        <f t="shared" si="36"/>
        <v>2578.2136621342693</v>
      </c>
      <c r="Y185" s="3">
        <f t="shared" si="37"/>
        <v>2757060.4187472169</v>
      </c>
      <c r="Z185" s="3">
        <f t="shared" si="38"/>
        <v>-136085.79620744512</v>
      </c>
      <c r="AA185" s="3">
        <f t="shared" si="39"/>
        <v>2760416.9062936842</v>
      </c>
      <c r="AB185" s="3">
        <f t="shared" si="40"/>
        <v>2717060.4187472169</v>
      </c>
      <c r="AC185" s="3">
        <f t="shared" si="41"/>
        <v>-133585.79620744512</v>
      </c>
      <c r="AD185" s="3">
        <f t="shared" si="42"/>
        <v>2720342.3468510685</v>
      </c>
      <c r="AE185" s="3">
        <f t="shared" si="43"/>
        <v>2732060.4187472169</v>
      </c>
      <c r="AF185" s="3">
        <f t="shared" si="47"/>
        <v>-158585.79620744512</v>
      </c>
      <c r="AG185" s="3">
        <f t="shared" si="44"/>
        <v>2736659.2017355701</v>
      </c>
      <c r="AH185" s="3">
        <f t="shared" si="45"/>
        <v>0.1626651045753244</v>
      </c>
      <c r="AI185" s="3">
        <f t="shared" si="46"/>
        <v>-8.630624631453478E-3</v>
      </c>
    </row>
    <row r="186" spans="19:35" x14ac:dyDescent="0.3">
      <c r="S186" s="6">
        <v>169</v>
      </c>
      <c r="T186" s="4">
        <f t="shared" si="32"/>
        <v>84.5</v>
      </c>
      <c r="U186" s="3">
        <f t="shared" si="33"/>
        <v>-2769138.6975720515</v>
      </c>
      <c r="V186" s="3">
        <f t="shared" si="34"/>
        <v>146164.371203569</v>
      </c>
      <c r="W186" s="3">
        <f t="shared" si="35"/>
        <v>-32057.702593435952</v>
      </c>
      <c r="X186" s="3">
        <f t="shared" si="36"/>
        <v>2577.4843743529113</v>
      </c>
      <c r="Y186" s="3">
        <f t="shared" si="37"/>
        <v>2773103.0143409413</v>
      </c>
      <c r="Z186" s="3">
        <f t="shared" si="38"/>
        <v>-137375.26653015803</v>
      </c>
      <c r="AA186" s="3">
        <f t="shared" si="39"/>
        <v>2776503.6092180843</v>
      </c>
      <c r="AB186" s="3">
        <f t="shared" si="40"/>
        <v>2733103.0143409413</v>
      </c>
      <c r="AC186" s="3">
        <f t="shared" si="41"/>
        <v>-134875.26653015803</v>
      </c>
      <c r="AD186" s="3">
        <f t="shared" si="42"/>
        <v>2736428.9547731951</v>
      </c>
      <c r="AE186" s="3">
        <f t="shared" si="43"/>
        <v>2748103.0143409413</v>
      </c>
      <c r="AF186" s="3">
        <f t="shared" si="47"/>
        <v>-159875.26653015803</v>
      </c>
      <c r="AG186" s="3">
        <f t="shared" si="44"/>
        <v>2752749.5851017497</v>
      </c>
      <c r="AH186" s="3">
        <f t="shared" si="45"/>
        <v>0.16077310382430487</v>
      </c>
      <c r="AI186" s="3">
        <f t="shared" si="46"/>
        <v>-8.5557750318065937E-3</v>
      </c>
    </row>
    <row r="187" spans="19:35" x14ac:dyDescent="0.3">
      <c r="S187" s="6">
        <v>170</v>
      </c>
      <c r="T187" s="4">
        <f t="shared" si="32"/>
        <v>85</v>
      </c>
      <c r="U187" s="3">
        <f t="shared" si="33"/>
        <v>-2785167.5086754933</v>
      </c>
      <c r="V187" s="3">
        <f t="shared" si="34"/>
        <v>147453.11125180169</v>
      </c>
      <c r="W187" s="3">
        <f t="shared" si="35"/>
        <v>-32044.036879610885</v>
      </c>
      <c r="X187" s="3">
        <f t="shared" si="36"/>
        <v>2576.7571334752079</v>
      </c>
      <c r="Y187" s="3">
        <f t="shared" si="37"/>
        <v>2789138.6975720515</v>
      </c>
      <c r="Z187" s="3">
        <f t="shared" si="38"/>
        <v>-138664.371203569</v>
      </c>
      <c r="AA187" s="3">
        <f t="shared" si="39"/>
        <v>2792583.4780960805</v>
      </c>
      <c r="AB187" s="3">
        <f t="shared" si="40"/>
        <v>2749138.6975720515</v>
      </c>
      <c r="AC187" s="3">
        <f t="shared" si="41"/>
        <v>-136164.371203569</v>
      </c>
      <c r="AD187" s="3">
        <f t="shared" si="42"/>
        <v>2752508.7310439944</v>
      </c>
      <c r="AE187" s="3">
        <f t="shared" si="43"/>
        <v>2764138.6975720515</v>
      </c>
      <c r="AF187" s="3">
        <f t="shared" si="47"/>
        <v>-161164.371203569</v>
      </c>
      <c r="AG187" s="3">
        <f t="shared" si="44"/>
        <v>2768833.0924706818</v>
      </c>
      <c r="AH187" s="3">
        <f t="shared" si="45"/>
        <v>0.15891470286399514</v>
      </c>
      <c r="AI187" s="3">
        <f t="shared" si="46"/>
        <v>-8.4818262278417954E-3</v>
      </c>
    </row>
    <row r="188" spans="19:35" x14ac:dyDescent="0.3">
      <c r="S188" s="6">
        <v>171</v>
      </c>
      <c r="T188" s="4">
        <f t="shared" si="32"/>
        <v>85.5</v>
      </c>
      <c r="U188" s="3">
        <f t="shared" si="33"/>
        <v>-2801189.4873866234</v>
      </c>
      <c r="V188" s="3">
        <f t="shared" si="34"/>
        <v>148741.48769808272</v>
      </c>
      <c r="W188" s="3">
        <f t="shared" si="35"/>
        <v>-32030.449672516013</v>
      </c>
      <c r="X188" s="3">
        <f t="shared" si="36"/>
        <v>2576.0319373327275</v>
      </c>
      <c r="Y188" s="3">
        <f t="shared" si="37"/>
        <v>2805167.5086754933</v>
      </c>
      <c r="Z188" s="3">
        <f t="shared" si="38"/>
        <v>-139953.11125180169</v>
      </c>
      <c r="AA188" s="3">
        <f t="shared" si="39"/>
        <v>2808656.5516413241</v>
      </c>
      <c r="AB188" s="3">
        <f t="shared" si="40"/>
        <v>2765167.5086754933</v>
      </c>
      <c r="AC188" s="3">
        <f t="shared" si="41"/>
        <v>-137453.11125180169</v>
      </c>
      <c r="AD188" s="3">
        <f t="shared" si="42"/>
        <v>2768581.7143128421</v>
      </c>
      <c r="AE188" s="3">
        <f t="shared" si="43"/>
        <v>2780167.5086754933</v>
      </c>
      <c r="AF188" s="3">
        <f t="shared" si="47"/>
        <v>-162453.11125180169</v>
      </c>
      <c r="AG188" s="3">
        <f t="shared" si="44"/>
        <v>2784909.7632868267</v>
      </c>
      <c r="AH188" s="3">
        <f t="shared" si="45"/>
        <v>0.15708910241278443</v>
      </c>
      <c r="AI188" s="3">
        <f t="shared" si="46"/>
        <v>-8.4087665771224573E-3</v>
      </c>
    </row>
    <row r="189" spans="19:35" x14ac:dyDescent="0.3">
      <c r="S189" s="6">
        <v>172</v>
      </c>
      <c r="T189" s="4">
        <f t="shared" si="32"/>
        <v>86</v>
      </c>
      <c r="U189" s="3">
        <f t="shared" si="33"/>
        <v>-2817204.6729506059</v>
      </c>
      <c r="V189" s="3">
        <f t="shared" si="34"/>
        <v>150029.50156455743</v>
      </c>
      <c r="W189" s="3">
        <f t="shared" si="35"/>
        <v>-32016.940009708513</v>
      </c>
      <c r="X189" s="3">
        <f t="shared" si="36"/>
        <v>2575.3087834070948</v>
      </c>
      <c r="Y189" s="3">
        <f t="shared" si="37"/>
        <v>2821189.4873866234</v>
      </c>
      <c r="Z189" s="3">
        <f t="shared" si="38"/>
        <v>-141241.48769808272</v>
      </c>
      <c r="AA189" s="3">
        <f t="shared" si="39"/>
        <v>2824722.8681036956</v>
      </c>
      <c r="AB189" s="3">
        <f t="shared" si="40"/>
        <v>2781189.4873866234</v>
      </c>
      <c r="AC189" s="3">
        <f t="shared" si="41"/>
        <v>-138741.48769808272</v>
      </c>
      <c r="AD189" s="3">
        <f t="shared" si="42"/>
        <v>2784647.94276737</v>
      </c>
      <c r="AE189" s="3">
        <f t="shared" si="43"/>
        <v>2796189.4873866234</v>
      </c>
      <c r="AF189" s="3">
        <f t="shared" si="47"/>
        <v>-163741.48769808272</v>
      </c>
      <c r="AG189" s="3">
        <f t="shared" si="44"/>
        <v>2800979.6365138125</v>
      </c>
      <c r="AH189" s="3">
        <f t="shared" si="45"/>
        <v>0.15529552695630189</v>
      </c>
      <c r="AI189" s="3">
        <f t="shared" si="46"/>
        <v>-8.3365845016960816E-3</v>
      </c>
    </row>
    <row r="190" spans="19:35" x14ac:dyDescent="0.3">
      <c r="S190" s="6">
        <v>173</v>
      </c>
      <c r="T190" s="4">
        <f t="shared" si="32"/>
        <v>86.5</v>
      </c>
      <c r="U190" s="3">
        <f t="shared" si="33"/>
        <v>-2833213.1041315785</v>
      </c>
      <c r="V190" s="3">
        <f t="shared" si="34"/>
        <v>151317.15387211484</v>
      </c>
      <c r="W190" s="3">
        <f t="shared" si="35"/>
        <v>-32003.506946626792</v>
      </c>
      <c r="X190" s="3">
        <f t="shared" si="36"/>
        <v>2574.5876688476978</v>
      </c>
      <c r="Y190" s="3">
        <f t="shared" si="37"/>
        <v>2837204.6729506059</v>
      </c>
      <c r="Z190" s="3">
        <f t="shared" si="38"/>
        <v>-142529.50156455743</v>
      </c>
      <c r="AA190" s="3">
        <f t="shared" si="39"/>
        <v>2840782.4652776555</v>
      </c>
      <c r="AB190" s="3">
        <f t="shared" si="40"/>
        <v>2797204.6729506059</v>
      </c>
      <c r="AC190" s="3">
        <f t="shared" si="41"/>
        <v>-140029.50156455743</v>
      </c>
      <c r="AD190" s="3">
        <f t="shared" si="42"/>
        <v>2800707.454141743</v>
      </c>
      <c r="AE190" s="3">
        <f t="shared" si="43"/>
        <v>2812204.6729506059</v>
      </c>
      <c r="AF190" s="3">
        <f t="shared" si="47"/>
        <v>-165029.50156455743</v>
      </c>
      <c r="AG190" s="3">
        <f t="shared" si="44"/>
        <v>2817042.7506432822</v>
      </c>
      <c r="AH190" s="3">
        <f t="shared" si="45"/>
        <v>0.15353322390114252</v>
      </c>
      <c r="AI190" s="3">
        <f t="shared" si="46"/>
        <v>-8.2652684955592387E-3</v>
      </c>
    </row>
    <row r="191" spans="19:35" x14ac:dyDescent="0.3">
      <c r="S191" s="6">
        <v>174</v>
      </c>
      <c r="T191" s="4">
        <f t="shared" si="32"/>
        <v>87</v>
      </c>
      <c r="U191" s="3">
        <f t="shared" si="33"/>
        <v>-2849214.819221586</v>
      </c>
      <c r="V191" s="3">
        <f t="shared" si="34"/>
        <v>152604.44564022156</v>
      </c>
      <c r="W191" s="3">
        <f t="shared" si="35"/>
        <v>-31990.149556147393</v>
      </c>
      <c r="X191" s="3">
        <f t="shared" si="36"/>
        <v>2573.8685904885842</v>
      </c>
      <c r="Y191" s="3">
        <f t="shared" si="37"/>
        <v>2853213.1041315785</v>
      </c>
      <c r="Z191" s="3">
        <f t="shared" si="38"/>
        <v>-143817.15387211484</v>
      </c>
      <c r="AA191" s="3">
        <f t="shared" si="39"/>
        <v>2856835.3805104056</v>
      </c>
      <c r="AB191" s="3">
        <f t="shared" si="40"/>
        <v>2813213.1041315785</v>
      </c>
      <c r="AC191" s="3">
        <f t="shared" si="41"/>
        <v>-141317.15387211484</v>
      </c>
      <c r="AD191" s="3">
        <f t="shared" si="42"/>
        <v>2816760.2857247447</v>
      </c>
      <c r="AE191" s="3">
        <f t="shared" si="43"/>
        <v>2828213.1041315785</v>
      </c>
      <c r="AF191" s="3">
        <f t="shared" si="47"/>
        <v>-166317.15387211484</v>
      </c>
      <c r="AG191" s="3">
        <f t="shared" si="44"/>
        <v>2833099.1437035343</v>
      </c>
      <c r="AH191" s="3">
        <f t="shared" si="45"/>
        <v>0.15180146276363105</v>
      </c>
      <c r="AI191" s="3">
        <f t="shared" si="46"/>
        <v>-8.1948071314186487E-3</v>
      </c>
    </row>
    <row r="192" spans="19:35" x14ac:dyDescent="0.3">
      <c r="S192" s="6">
        <v>175</v>
      </c>
      <c r="T192" s="4">
        <f t="shared" si="32"/>
        <v>87.5</v>
      </c>
      <c r="U192" s="3">
        <f t="shared" si="33"/>
        <v>-2865209.8560492937</v>
      </c>
      <c r="V192" s="3">
        <f t="shared" si="34"/>
        <v>153891.37788676406</v>
      </c>
      <c r="W192" s="3">
        <f t="shared" si="35"/>
        <v>-31976.866928155574</v>
      </c>
      <c r="X192" s="3">
        <f t="shared" si="36"/>
        <v>2573.151544864585</v>
      </c>
      <c r="Y192" s="3">
        <f t="shared" si="37"/>
        <v>2869214.819221586</v>
      </c>
      <c r="Z192" s="3">
        <f t="shared" si="38"/>
        <v>-145104.44564022156</v>
      </c>
      <c r="AA192" s="3">
        <f t="shared" si="39"/>
        <v>2872881.6507098433</v>
      </c>
      <c r="AB192" s="3">
        <f t="shared" si="40"/>
        <v>2829214.819221586</v>
      </c>
      <c r="AC192" s="3">
        <f t="shared" si="41"/>
        <v>-142604.44564022156</v>
      </c>
      <c r="AD192" s="3">
        <f t="shared" si="42"/>
        <v>2832806.4743676693</v>
      </c>
      <c r="AE192" s="3">
        <f t="shared" si="43"/>
        <v>2844214.819221586</v>
      </c>
      <c r="AF192" s="3">
        <f t="shared" si="47"/>
        <v>-167604.44564022156</v>
      </c>
      <c r="AG192" s="3">
        <f t="shared" si="44"/>
        <v>2849148.8532679449</v>
      </c>
      <c r="AH192" s="3">
        <f t="shared" si="45"/>
        <v>0.15009953439197721</v>
      </c>
      <c r="AI192" s="3">
        <f t="shared" si="46"/>
        <v>-8.1251890668001276E-3</v>
      </c>
    </row>
    <row r="193" spans="19:35" x14ac:dyDescent="0.3">
      <c r="S193" s="6">
        <v>176</v>
      </c>
      <c r="T193" s="4">
        <f t="shared" si="32"/>
        <v>88</v>
      </c>
      <c r="U193" s="3">
        <f t="shared" si="33"/>
        <v>-2881198.2519884878</v>
      </c>
      <c r="V193" s="3">
        <f t="shared" si="34"/>
        <v>155177.95162789908</v>
      </c>
      <c r="W193" s="3">
        <f t="shared" si="35"/>
        <v>-31963.658169129081</v>
      </c>
      <c r="X193" s="3">
        <f t="shared" si="36"/>
        <v>2572.4365282267067</v>
      </c>
      <c r="Y193" s="3">
        <f t="shared" si="37"/>
        <v>2885209.8560492937</v>
      </c>
      <c r="Z193" s="3">
        <f t="shared" si="38"/>
        <v>-146391.37788676406</v>
      </c>
      <c r="AA193" s="3">
        <f t="shared" si="39"/>
        <v>2888921.3123523407</v>
      </c>
      <c r="AB193" s="3">
        <f t="shared" si="40"/>
        <v>2845209.8560492937</v>
      </c>
      <c r="AC193" s="3">
        <f t="shared" si="41"/>
        <v>-143891.37788676406</v>
      </c>
      <c r="AD193" s="3">
        <f t="shared" si="42"/>
        <v>2848846.0564920306</v>
      </c>
      <c r="AE193" s="3">
        <f t="shared" si="43"/>
        <v>2860209.8560492937</v>
      </c>
      <c r="AF193" s="3">
        <f t="shared" si="47"/>
        <v>-168891.37788676406</v>
      </c>
      <c r="AG193" s="3">
        <f t="shared" si="44"/>
        <v>2865191.9164631907</v>
      </c>
      <c r="AH193" s="3">
        <f t="shared" si="45"/>
        <v>0.14842675022025192</v>
      </c>
      <c r="AI193" s="3">
        <f t="shared" si="46"/>
        <v>-8.0564030495526868E-3</v>
      </c>
    </row>
    <row r="194" spans="19:35" x14ac:dyDescent="0.3">
      <c r="S194" s="6">
        <v>177</v>
      </c>
      <c r="T194" s="4">
        <f t="shared" si="32"/>
        <v>88.5</v>
      </c>
      <c r="U194" s="3">
        <f t="shared" si="33"/>
        <v>-2897180.0439663646</v>
      </c>
      <c r="V194" s="3">
        <f t="shared" si="34"/>
        <v>156464.16787791168</v>
      </c>
      <c r="W194" s="3">
        <f t="shared" si="35"/>
        <v>-31950.52240173459</v>
      </c>
      <c r="X194" s="3">
        <f t="shared" si="36"/>
        <v>2571.7235365568213</v>
      </c>
      <c r="Y194" s="3">
        <f t="shared" si="37"/>
        <v>2901198.2519884878</v>
      </c>
      <c r="Z194" s="3">
        <f t="shared" si="38"/>
        <v>-147677.95162789908</v>
      </c>
      <c r="AA194" s="3">
        <f t="shared" si="39"/>
        <v>2904954.4014903344</v>
      </c>
      <c r="AB194" s="3">
        <f t="shared" si="40"/>
        <v>2861198.2519884878</v>
      </c>
      <c r="AC194" s="3">
        <f t="shared" si="41"/>
        <v>-145177.95162789908</v>
      </c>
      <c r="AD194" s="3">
        <f t="shared" si="42"/>
        <v>2864879.0680970903</v>
      </c>
      <c r="AE194" s="3">
        <f t="shared" si="43"/>
        <v>2876198.2519884878</v>
      </c>
      <c r="AF194" s="3">
        <f t="shared" si="47"/>
        <v>-170177.95162789908</v>
      </c>
      <c r="AG194" s="3">
        <f t="shared" si="44"/>
        <v>2881228.369977274</v>
      </c>
      <c r="AH194" s="3">
        <f t="shared" si="45"/>
        <v>0.14678244155270326</v>
      </c>
      <c r="AI194" s="3">
        <f t="shared" si="46"/>
        <v>-7.9884379227922273E-3</v>
      </c>
    </row>
    <row r="195" spans="19:35" x14ac:dyDescent="0.3">
      <c r="S195" s="6">
        <v>178</v>
      </c>
      <c r="T195" s="4">
        <f t="shared" si="32"/>
        <v>89</v>
      </c>
      <c r="U195" s="3">
        <f t="shared" si="33"/>
        <v>-2913155.2684716214</v>
      </c>
      <c r="V195" s="3">
        <f t="shared" si="34"/>
        <v>157750.02764908061</v>
      </c>
      <c r="W195" s="3">
        <f t="shared" si="35"/>
        <v>-31937.4587644364</v>
      </c>
      <c r="X195" s="3">
        <f t="shared" si="36"/>
        <v>2571.0125655816928</v>
      </c>
      <c r="Y195" s="3">
        <f t="shared" si="37"/>
        <v>2917180.0439663646</v>
      </c>
      <c r="Z195" s="3">
        <f t="shared" si="38"/>
        <v>-148964.16787791168</v>
      </c>
      <c r="AA195" s="3">
        <f t="shared" si="39"/>
        <v>2920980.9537597396</v>
      </c>
      <c r="AB195" s="3">
        <f t="shared" si="40"/>
        <v>2877180.0439663646</v>
      </c>
      <c r="AC195" s="3">
        <f t="shared" si="41"/>
        <v>-146464.16787791168</v>
      </c>
      <c r="AD195" s="3">
        <f t="shared" si="42"/>
        <v>2880905.5447672112</v>
      </c>
      <c r="AE195" s="3">
        <f t="shared" si="43"/>
        <v>2892180.0439663646</v>
      </c>
      <c r="AF195" s="3">
        <f t="shared" si="47"/>
        <v>-171464.16787791168</v>
      </c>
      <c r="AG195" s="3">
        <f t="shared" si="44"/>
        <v>2897258.2500673542</v>
      </c>
      <c r="AH195" s="3">
        <f t="shared" si="45"/>
        <v>0.14516595887701716</v>
      </c>
      <c r="AI195" s="3">
        <f t="shared" si="46"/>
        <v>-7.9212826293266116E-3</v>
      </c>
    </row>
    <row r="196" spans="19:35" x14ac:dyDescent="0.3">
      <c r="S196" s="6">
        <v>179</v>
      </c>
      <c r="T196" s="4">
        <f t="shared" si="32"/>
        <v>89.5</v>
      </c>
      <c r="U196" s="3">
        <f t="shared" si="33"/>
        <v>-2929123.9615623499</v>
      </c>
      <c r="V196" s="3">
        <f t="shared" si="34"/>
        <v>159035.5319515508</v>
      </c>
      <c r="W196" s="3">
        <f t="shared" si="35"/>
        <v>-31924.466411116908</v>
      </c>
      <c r="X196" s="3">
        <f t="shared" si="36"/>
        <v>2570.3036107863682</v>
      </c>
      <c r="Y196" s="3">
        <f t="shared" si="37"/>
        <v>2933155.2684716214</v>
      </c>
      <c r="Z196" s="3">
        <f t="shared" si="38"/>
        <v>-150250.02764908061</v>
      </c>
      <c r="AA196" s="3">
        <f t="shared" si="39"/>
        <v>2937001.0043871929</v>
      </c>
      <c r="AB196" s="3">
        <f t="shared" si="40"/>
        <v>2893155.2684716214</v>
      </c>
      <c r="AC196" s="3">
        <f t="shared" si="41"/>
        <v>-147750.02764908061</v>
      </c>
      <c r="AD196" s="3">
        <f t="shared" si="42"/>
        <v>2896925.5216790442</v>
      </c>
      <c r="AE196" s="3">
        <f t="shared" si="43"/>
        <v>2908155.2684716214</v>
      </c>
      <c r="AF196" s="3">
        <f t="shared" si="47"/>
        <v>-172750.02764908061</v>
      </c>
      <c r="AG196" s="3">
        <f t="shared" si="44"/>
        <v>2913281.5925673931</v>
      </c>
      <c r="AH196" s="3">
        <f t="shared" si="45"/>
        <v>0.14357667120517126</v>
      </c>
      <c r="AI196" s="3">
        <f t="shared" si="46"/>
        <v>-7.8549262155992068E-3</v>
      </c>
    </row>
    <row r="197" spans="19:35" x14ac:dyDescent="0.3">
      <c r="S197" s="6">
        <v>180</v>
      </c>
      <c r="T197" s="4">
        <f t="shared" si="32"/>
        <v>90</v>
      </c>
      <c r="U197" s="3">
        <f t="shared" si="33"/>
        <v>-2945086.1588737406</v>
      </c>
      <c r="V197" s="3">
        <f t="shared" si="34"/>
        <v>160320.68179321245</v>
      </c>
      <c r="W197" s="3">
        <f t="shared" si="35"/>
        <v>-31911.544510708442</v>
      </c>
      <c r="X197" s="3">
        <f t="shared" si="36"/>
        <v>2569.5966674269644</v>
      </c>
      <c r="Y197" s="3">
        <f t="shared" si="37"/>
        <v>2949123.9615623499</v>
      </c>
      <c r="Z197" s="3">
        <f t="shared" si="38"/>
        <v>-151535.5319515508</v>
      </c>
      <c r="AA197" s="3">
        <f t="shared" si="39"/>
        <v>2953014.588197127</v>
      </c>
      <c r="AB197" s="3">
        <f t="shared" si="40"/>
        <v>2909123.9615623499</v>
      </c>
      <c r="AC197" s="3">
        <f t="shared" si="41"/>
        <v>-149035.5319515508</v>
      </c>
      <c r="AD197" s="3">
        <f t="shared" si="42"/>
        <v>2912939.0336085483</v>
      </c>
      <c r="AE197" s="3">
        <f t="shared" si="43"/>
        <v>2924123.9615623499</v>
      </c>
      <c r="AF197" s="3">
        <f t="shared" si="47"/>
        <v>-174035.5319515508</v>
      </c>
      <c r="AG197" s="3">
        <f t="shared" si="44"/>
        <v>2929298.4328956227</v>
      </c>
      <c r="AH197" s="3">
        <f t="shared" si="45"/>
        <v>0.14201396544063977</v>
      </c>
      <c r="AI197" s="3">
        <f t="shared" si="46"/>
        <v>-7.7893578351877386E-3</v>
      </c>
    </row>
    <row r="198" spans="19:35" x14ac:dyDescent="0.3">
      <c r="S198" s="6">
        <v>181</v>
      </c>
      <c r="T198" s="4">
        <f t="shared" si="32"/>
        <v>90.5</v>
      </c>
      <c r="U198" s="3">
        <f t="shared" si="33"/>
        <v>-2961041.8956256034</v>
      </c>
      <c r="V198" s="3">
        <f t="shared" si="34"/>
        <v>161605.4781795865</v>
      </c>
      <c r="W198" s="3">
        <f t="shared" si="35"/>
        <v>-31898.692246836064</v>
      </c>
      <c r="X198" s="3">
        <f t="shared" si="36"/>
        <v>2568.8917305428799</v>
      </c>
      <c r="Y198" s="3">
        <f t="shared" si="37"/>
        <v>2965086.1588737406</v>
      </c>
      <c r="Z198" s="3">
        <f t="shared" si="38"/>
        <v>-152820.68179321245</v>
      </c>
      <c r="AA198" s="3">
        <f t="shared" si="39"/>
        <v>2969021.739618687</v>
      </c>
      <c r="AB198" s="3">
        <f t="shared" si="40"/>
        <v>2925086.1588737406</v>
      </c>
      <c r="AC198" s="3">
        <f t="shared" si="41"/>
        <v>-150320.68179321245</v>
      </c>
      <c r="AD198" s="3">
        <f t="shared" si="42"/>
        <v>2928946.1149378475</v>
      </c>
      <c r="AE198" s="3">
        <f t="shared" si="43"/>
        <v>2940086.1588737406</v>
      </c>
      <c r="AF198" s="3">
        <f t="shared" si="47"/>
        <v>-175320.68179321245</v>
      </c>
      <c r="AG198" s="3">
        <f t="shared" si="44"/>
        <v>2945308.8060618336</v>
      </c>
      <c r="AH198" s="3">
        <f t="shared" si="45"/>
        <v>0.1404772457707367</v>
      </c>
      <c r="AI198" s="3">
        <f t="shared" si="46"/>
        <v>-7.7245667518907532E-3</v>
      </c>
    </row>
    <row r="199" spans="19:35" x14ac:dyDescent="0.3">
      <c r="S199" s="6">
        <v>182</v>
      </c>
      <c r="T199" s="4">
        <f t="shared" si="32"/>
        <v>91</v>
      </c>
      <c r="U199" s="3">
        <f t="shared" si="33"/>
        <v>-2976991.2066297098</v>
      </c>
      <c r="V199" s="3">
        <f t="shared" si="34"/>
        <v>162889.92211371625</v>
      </c>
      <c r="W199" s="3">
        <f t="shared" si="35"/>
        <v>-31885.908817470929</v>
      </c>
      <c r="X199" s="3">
        <f t="shared" si="36"/>
        <v>2568.1887949684578</v>
      </c>
      <c r="Y199" s="3">
        <f t="shared" si="37"/>
        <v>2981041.8956256034</v>
      </c>
      <c r="Z199" s="3">
        <f t="shared" si="38"/>
        <v>-154105.4781795865</v>
      </c>
      <c r="AA199" s="3">
        <f t="shared" si="39"/>
        <v>2985022.4926924841</v>
      </c>
      <c r="AB199" s="3">
        <f t="shared" si="40"/>
        <v>2941041.8956256034</v>
      </c>
      <c r="AC199" s="3">
        <f t="shared" si="41"/>
        <v>-151605.4781795865</v>
      </c>
      <c r="AD199" s="3">
        <f t="shared" si="42"/>
        <v>2944946.7996619404</v>
      </c>
      <c r="AE199" s="3">
        <f t="shared" si="43"/>
        <v>2956041.8956256034</v>
      </c>
      <c r="AF199" s="3">
        <f t="shared" si="47"/>
        <v>-176605.4781795865</v>
      </c>
      <c r="AG199" s="3">
        <f t="shared" si="44"/>
        <v>2961312.7466744967</v>
      </c>
      <c r="AH199" s="3">
        <f t="shared" si="45"/>
        <v>0.13896593308296531</v>
      </c>
      <c r="AI199" s="3">
        <f t="shared" si="46"/>
        <v>-7.6605423424326233E-3</v>
      </c>
    </row>
    <row r="200" spans="19:35" x14ac:dyDescent="0.3">
      <c r="S200" s="6">
        <v>183</v>
      </c>
      <c r="T200" s="4">
        <f t="shared" si="32"/>
        <v>91.5</v>
      </c>
      <c r="U200" s="3">
        <f t="shared" si="33"/>
        <v>-2992934.1262969621</v>
      </c>
      <c r="V200" s="3">
        <f t="shared" si="34"/>
        <v>164174.0145960649</v>
      </c>
      <c r="W200" s="3">
        <f t="shared" si="35"/>
        <v>-31873.193434593839</v>
      </c>
      <c r="X200" s="3">
        <f t="shared" si="36"/>
        <v>2567.4878553441254</v>
      </c>
      <c r="Y200" s="3">
        <f t="shared" si="37"/>
        <v>2996991.2066297098</v>
      </c>
      <c r="Z200" s="3">
        <f t="shared" si="38"/>
        <v>-155389.92211371625</v>
      </c>
      <c r="AA200" s="3">
        <f t="shared" si="39"/>
        <v>3001016.8810771974</v>
      </c>
      <c r="AB200" s="3">
        <f t="shared" si="40"/>
        <v>2956991.2066297098</v>
      </c>
      <c r="AC200" s="3">
        <f t="shared" si="41"/>
        <v>-152889.92211371625</v>
      </c>
      <c r="AD200" s="3">
        <f t="shared" si="42"/>
        <v>2960941.1213952508</v>
      </c>
      <c r="AE200" s="3">
        <f t="shared" si="43"/>
        <v>2971991.2066297098</v>
      </c>
      <c r="AF200" s="3">
        <f t="shared" si="47"/>
        <v>-177889.92211371625</v>
      </c>
      <c r="AG200" s="3">
        <f t="shared" si="44"/>
        <v>2977310.2889477178</v>
      </c>
      <c r="AH200" s="3">
        <f t="shared" si="45"/>
        <v>0.13747946440429223</v>
      </c>
      <c r="AI200" s="3">
        <f t="shared" si="46"/>
        <v>-7.5972740988157362E-3</v>
      </c>
    </row>
    <row r="201" spans="19:35" x14ac:dyDescent="0.3">
      <c r="S201" s="6">
        <v>184</v>
      </c>
      <c r="T201" s="4">
        <f t="shared" si="32"/>
        <v>92</v>
      </c>
      <c r="U201" s="3">
        <f t="shared" si="33"/>
        <v>-3008870.6886443933</v>
      </c>
      <c r="V201" s="3">
        <f t="shared" si="34"/>
        <v>165457.75662441843</v>
      </c>
      <c r="W201" s="3">
        <f t="shared" si="35"/>
        <v>-31860.545323868642</v>
      </c>
      <c r="X201" s="3">
        <f t="shared" si="36"/>
        <v>2566.7889061270344</v>
      </c>
      <c r="Y201" s="3">
        <f t="shared" si="37"/>
        <v>3012934.1262969621</v>
      </c>
      <c r="Z201" s="3">
        <f t="shared" si="38"/>
        <v>-156674.0145960649</v>
      </c>
      <c r="AA201" s="3">
        <f t="shared" si="39"/>
        <v>3017004.9380560326</v>
      </c>
      <c r="AB201" s="3">
        <f t="shared" si="40"/>
        <v>2972934.1262969621</v>
      </c>
      <c r="AC201" s="3">
        <f t="shared" si="41"/>
        <v>-154174.0145960649</v>
      </c>
      <c r="AD201" s="3">
        <f t="shared" si="42"/>
        <v>2976929.1133780377</v>
      </c>
      <c r="AE201" s="3">
        <f t="shared" si="43"/>
        <v>2987934.1262969621</v>
      </c>
      <c r="AF201" s="3">
        <f t="shared" si="47"/>
        <v>-179174.0145960649</v>
      </c>
      <c r="AG201" s="3">
        <f t="shared" si="44"/>
        <v>2993301.4667080329</v>
      </c>
      <c r="AH201" s="3">
        <f t="shared" si="45"/>
        <v>0.13601729236232493</v>
      </c>
      <c r="AI201" s="3">
        <f t="shared" si="46"/>
        <v>-7.5347516303465659E-3</v>
      </c>
    </row>
    <row r="202" spans="19:35" x14ac:dyDescent="0.3">
      <c r="S202" s="6">
        <v>185</v>
      </c>
      <c r="T202" s="4">
        <f t="shared" si="32"/>
        <v>92.5</v>
      </c>
      <c r="U202" s="3">
        <f t="shared" si="33"/>
        <v>-3024800.9273020043</v>
      </c>
      <c r="V202" s="3">
        <f t="shared" si="34"/>
        <v>166741.14919379403</v>
      </c>
      <c r="W202" s="3">
        <f t="shared" si="35"/>
        <v>-31847.963724325127</v>
      </c>
      <c r="X202" s="3">
        <f t="shared" si="36"/>
        <v>2566.0919416012275</v>
      </c>
      <c r="Y202" s="3">
        <f t="shared" si="37"/>
        <v>3028870.6886443933</v>
      </c>
      <c r="Z202" s="3">
        <f t="shared" si="38"/>
        <v>-157957.75662441843</v>
      </c>
      <c r="AA202" s="3">
        <f t="shared" si="39"/>
        <v>3032986.6965430262</v>
      </c>
      <c r="AB202" s="3">
        <f t="shared" si="40"/>
        <v>2988870.6886443933</v>
      </c>
      <c r="AC202" s="3">
        <f t="shared" si="41"/>
        <v>-155457.75662441843</v>
      </c>
      <c r="AD202" s="3">
        <f t="shared" si="42"/>
        <v>2992910.8084826563</v>
      </c>
      <c r="AE202" s="3">
        <f t="shared" si="43"/>
        <v>3003870.6886443933</v>
      </c>
      <c r="AF202" s="3">
        <f t="shared" si="47"/>
        <v>-180457.75662441843</v>
      </c>
      <c r="AG202" s="3">
        <f t="shared" si="44"/>
        <v>3009286.3134010462</v>
      </c>
      <c r="AH202" s="3">
        <f t="shared" si="45"/>
        <v>0.13457888466741122</v>
      </c>
      <c r="AI202" s="3">
        <f t="shared" si="46"/>
        <v>-7.4729646653599793E-3</v>
      </c>
    </row>
    <row r="203" spans="19:35" x14ac:dyDescent="0.3">
      <c r="S203" s="6">
        <v>186</v>
      </c>
      <c r="T203" s="4">
        <f t="shared" si="32"/>
        <v>93</v>
      </c>
      <c r="U203" s="3">
        <f t="shared" si="33"/>
        <v>-3040724.8755194456</v>
      </c>
      <c r="V203" s="3">
        <f t="shared" si="34"/>
        <v>168024.19329635348</v>
      </c>
      <c r="W203" s="3">
        <f t="shared" si="35"/>
        <v>-31835.447888051058</v>
      </c>
      <c r="X203" s="3">
        <f t="shared" si="36"/>
        <v>2565.3969558873491</v>
      </c>
      <c r="Y203" s="3">
        <f t="shared" si="37"/>
        <v>3044800.9273020043</v>
      </c>
      <c r="Z203" s="3">
        <f t="shared" si="38"/>
        <v>-159241.14919379403</v>
      </c>
      <c r="AA203" s="3">
        <f t="shared" si="39"/>
        <v>3048962.1890892163</v>
      </c>
      <c r="AB203" s="3">
        <f t="shared" si="40"/>
        <v>3004800.9273020043</v>
      </c>
      <c r="AC203" s="3">
        <f t="shared" si="41"/>
        <v>-156741.14919379403</v>
      </c>
      <c r="AD203" s="3">
        <f t="shared" si="42"/>
        <v>3008886.2392196846</v>
      </c>
      <c r="AE203" s="3">
        <f t="shared" si="43"/>
        <v>3019800.9273020043</v>
      </c>
      <c r="AF203" s="3">
        <f t="shared" si="47"/>
        <v>-181741.14919379403</v>
      </c>
      <c r="AG203" s="3">
        <f t="shared" si="44"/>
        <v>3025264.8620979167</v>
      </c>
      <c r="AH203" s="3">
        <f t="shared" si="45"/>
        <v>0.13316372361474363</v>
      </c>
      <c r="AI203" s="3">
        <f t="shared" si="46"/>
        <v>-7.4119030526652169E-3</v>
      </c>
    </row>
    <row r="204" spans="19:35" x14ac:dyDescent="0.3">
      <c r="S204" s="6">
        <v>187</v>
      </c>
      <c r="T204" s="4">
        <f t="shared" si="32"/>
        <v>93.5</v>
      </c>
      <c r="U204" s="3">
        <f t="shared" si="33"/>
        <v>-3056642.5661725402</v>
      </c>
      <c r="V204" s="3">
        <f t="shared" si="34"/>
        <v>169306.88992132139</v>
      </c>
      <c r="W204" s="3">
        <f t="shared" si="35"/>
        <v>-31822.997079893081</v>
      </c>
      <c r="X204" s="3">
        <f t="shared" si="36"/>
        <v>2564.703942951925</v>
      </c>
      <c r="Y204" s="3">
        <f t="shared" si="37"/>
        <v>3060724.8755194456</v>
      </c>
      <c r="Z204" s="3">
        <f t="shared" si="38"/>
        <v>-160524.19329635348</v>
      </c>
      <c r="AA204" s="3">
        <f t="shared" si="39"/>
        <v>3064931.4478886751</v>
      </c>
      <c r="AB204" s="3">
        <f t="shared" si="40"/>
        <v>3020724.8755194456</v>
      </c>
      <c r="AC204" s="3">
        <f t="shared" si="41"/>
        <v>-158024.19329635348</v>
      </c>
      <c r="AD204" s="3">
        <f t="shared" si="42"/>
        <v>3024855.4377439152</v>
      </c>
      <c r="AE204" s="3">
        <f t="shared" si="43"/>
        <v>3035724.8755194456</v>
      </c>
      <c r="AF204" s="3">
        <f t="shared" si="47"/>
        <v>-183024.19329635348</v>
      </c>
      <c r="AG204" s="3">
        <f t="shared" si="44"/>
        <v>3041237.1455017007</v>
      </c>
      <c r="AH204" s="3">
        <f t="shared" si="45"/>
        <v>0.13177130560558076</v>
      </c>
      <c r="AI204" s="3">
        <f t="shared" si="46"/>
        <v>-7.3515567627344732E-3</v>
      </c>
    </row>
    <row r="205" spans="19:35" x14ac:dyDescent="0.3">
      <c r="S205" s="6">
        <v>188</v>
      </c>
      <c r="T205" s="4">
        <f t="shared" si="32"/>
        <v>94</v>
      </c>
      <c r="U205" s="3">
        <f t="shared" si="33"/>
        <v>-3072554.0317696603</v>
      </c>
      <c r="V205" s="3">
        <f t="shared" si="34"/>
        <v>170589.24005490815</v>
      </c>
      <c r="W205" s="3">
        <f t="shared" si="35"/>
        <v>-31810.610577166157</v>
      </c>
      <c r="X205" s="3">
        <f t="shared" si="36"/>
        <v>2564.0128966162279</v>
      </c>
      <c r="Y205" s="3">
        <f t="shared" si="37"/>
        <v>3076642.5661725402</v>
      </c>
      <c r="Z205" s="3">
        <f t="shared" si="38"/>
        <v>-161806.88992132139</v>
      </c>
      <c r="AA205" s="3">
        <f t="shared" si="39"/>
        <v>3080894.504784408</v>
      </c>
      <c r="AB205" s="3">
        <f t="shared" si="40"/>
        <v>3036642.5661725402</v>
      </c>
      <c r="AC205" s="3">
        <f t="shared" si="41"/>
        <v>-159306.88992132139</v>
      </c>
      <c r="AD205" s="3">
        <f t="shared" si="42"/>
        <v>3040818.4358602134</v>
      </c>
      <c r="AE205" s="3">
        <f t="shared" si="43"/>
        <v>3051642.5661725402</v>
      </c>
      <c r="AF205" s="3">
        <f t="shared" si="47"/>
        <v>-184306.88992132139</v>
      </c>
      <c r="AG205" s="3">
        <f t="shared" si="44"/>
        <v>3057203.1959535494</v>
      </c>
      <c r="AH205" s="3">
        <f t="shared" si="45"/>
        <v>0.13040114068675815</v>
      </c>
      <c r="AI205" s="3">
        <f t="shared" si="46"/>
        <v>-7.2919158886544612E-3</v>
      </c>
    </row>
    <row r="206" spans="19:35" x14ac:dyDescent="0.3">
      <c r="S206" s="6">
        <v>189</v>
      </c>
      <c r="T206" s="4">
        <f t="shared" si="32"/>
        <v>94.5</v>
      </c>
      <c r="U206" s="3">
        <f t="shared" si="33"/>
        <v>-3088459.3044579583</v>
      </c>
      <c r="V206" s="3">
        <f t="shared" si="34"/>
        <v>171871.24468023729</v>
      </c>
      <c r="W206" s="3">
        <f t="shared" si="35"/>
        <v>-31798.287669371257</v>
      </c>
      <c r="X206" s="3">
        <f t="shared" si="36"/>
        <v>2563.3238105647501</v>
      </c>
      <c r="Y206" s="3">
        <f t="shared" si="37"/>
        <v>3092554.0317696603</v>
      </c>
      <c r="Z206" s="3">
        <f t="shared" si="38"/>
        <v>-163089.24005490815</v>
      </c>
      <c r="AA206" s="3">
        <f t="shared" si="39"/>
        <v>3096851.3912741225</v>
      </c>
      <c r="AB206" s="3">
        <f t="shared" si="40"/>
        <v>3052554.0317696603</v>
      </c>
      <c r="AC206" s="3">
        <f t="shared" si="41"/>
        <v>-160589.24005490815</v>
      </c>
      <c r="AD206" s="3">
        <f t="shared" si="42"/>
        <v>3056775.2650292465</v>
      </c>
      <c r="AE206" s="3">
        <f t="shared" si="43"/>
        <v>3067554.0317696603</v>
      </c>
      <c r="AF206" s="3">
        <f t="shared" si="47"/>
        <v>-185589.24005490815</v>
      </c>
      <c r="AG206" s="3">
        <f t="shared" si="44"/>
        <v>3073163.0454387637</v>
      </c>
      <c r="AH206" s="3">
        <f t="shared" si="45"/>
        <v>0.12905275210768483</v>
      </c>
      <c r="AI206" s="3">
        <f t="shared" si="46"/>
        <v>-7.2329706468589345E-3</v>
      </c>
    </row>
    <row r="207" spans="19:35" x14ac:dyDescent="0.3">
      <c r="S207" s="6">
        <v>190</v>
      </c>
      <c r="T207" s="4">
        <f t="shared" si="32"/>
        <v>95</v>
      </c>
      <c r="U207" s="3">
        <f t="shared" si="33"/>
        <v>-3104358.4160294556</v>
      </c>
      <c r="V207" s="3">
        <f t="shared" si="34"/>
        <v>173152.904777277</v>
      </c>
      <c r="W207" s="3">
        <f t="shared" si="35"/>
        <v>-31786.027657921026</v>
      </c>
      <c r="X207" s="3">
        <f t="shared" si="36"/>
        <v>2562.6366783532985</v>
      </c>
      <c r="Y207" s="3">
        <f t="shared" si="37"/>
        <v>3108459.3044579583</v>
      </c>
      <c r="Z207" s="3">
        <f t="shared" si="38"/>
        <v>-164371.24468023729</v>
      </c>
      <c r="AA207" s="3">
        <f t="shared" si="39"/>
        <v>3112802.1385158719</v>
      </c>
      <c r="AB207" s="3">
        <f t="shared" si="40"/>
        <v>3068459.3044579583</v>
      </c>
      <c r="AC207" s="3">
        <f t="shared" si="41"/>
        <v>-161871.24468023729</v>
      </c>
      <c r="AD207" s="3">
        <f t="shared" si="42"/>
        <v>3072725.9563730941</v>
      </c>
      <c r="AE207" s="3">
        <f t="shared" si="43"/>
        <v>3083459.3044579583</v>
      </c>
      <c r="AF207" s="3">
        <f t="shared" si="47"/>
        <v>-186871.24468023729</v>
      </c>
      <c r="AG207" s="3">
        <f t="shared" si="44"/>
        <v>3089116.7255927213</v>
      </c>
      <c r="AH207" s="3">
        <f t="shared" si="45"/>
        <v>0.12772567589407499</v>
      </c>
      <c r="AI207" s="3">
        <f t="shared" si="46"/>
        <v>-7.1747113776597822E-3</v>
      </c>
    </row>
    <row r="208" spans="19:35" x14ac:dyDescent="0.3">
      <c r="S208" s="6">
        <v>191</v>
      </c>
      <c r="T208" s="4">
        <f t="shared" si="32"/>
        <v>95.5</v>
      </c>
      <c r="U208" s="3">
        <f t="shared" si="33"/>
        <v>-3120251.3979269974</v>
      </c>
      <c r="V208" s="3">
        <f t="shared" si="34"/>
        <v>174434.22132277582</v>
      </c>
      <c r="W208" s="3">
        <f t="shared" si="35"/>
        <v>-31773.82985587314</v>
      </c>
      <c r="X208" s="3">
        <f t="shared" si="36"/>
        <v>2561.9514934167319</v>
      </c>
      <c r="Y208" s="3">
        <f t="shared" si="37"/>
        <v>3124358.4160294556</v>
      </c>
      <c r="Z208" s="3">
        <f t="shared" si="38"/>
        <v>-165652.904777277</v>
      </c>
      <c r="AA208" s="3">
        <f t="shared" si="39"/>
        <v>3128746.7773335762</v>
      </c>
      <c r="AB208" s="3">
        <f t="shared" si="40"/>
        <v>3084358.4160294556</v>
      </c>
      <c r="AC208" s="3">
        <f t="shared" si="41"/>
        <v>-163152.904777277</v>
      </c>
      <c r="AD208" s="3">
        <f t="shared" si="42"/>
        <v>3088670.5406807307</v>
      </c>
      <c r="AE208" s="3">
        <f t="shared" si="43"/>
        <v>3099358.4160294556</v>
      </c>
      <c r="AF208" s="3">
        <f t="shared" si="47"/>
        <v>-188152.904777277</v>
      </c>
      <c r="AG208" s="3">
        <f t="shared" si="44"/>
        <v>3105064.2677066675</v>
      </c>
      <c r="AH208" s="3">
        <f t="shared" si="45"/>
        <v>0.12641946043769314</v>
      </c>
      <c r="AI208" s="3">
        <f t="shared" si="46"/>
        <v>-7.117128545592496E-3</v>
      </c>
    </row>
    <row r="209" spans="19:35" x14ac:dyDescent="0.3">
      <c r="S209" s="6">
        <v>192</v>
      </c>
      <c r="T209" s="4">
        <f t="shared" si="32"/>
        <v>96</v>
      </c>
      <c r="U209" s="3">
        <f t="shared" si="33"/>
        <v>-3136138.2812500689</v>
      </c>
      <c r="V209" s="3">
        <f t="shared" si="34"/>
        <v>175715.19529020204</v>
      </c>
      <c r="W209" s="3">
        <f t="shared" si="35"/>
        <v>-31761.693587671121</v>
      </c>
      <c r="X209" s="3">
        <f t="shared" si="36"/>
        <v>2561.268249076355</v>
      </c>
      <c r="Y209" s="3">
        <f t="shared" si="37"/>
        <v>3140251.3979269974</v>
      </c>
      <c r="Z209" s="3">
        <f t="shared" si="38"/>
        <v>-166934.22132277582</v>
      </c>
      <c r="AA209" s="3">
        <f t="shared" si="39"/>
        <v>3144685.3382224273</v>
      </c>
      <c r="AB209" s="3">
        <f t="shared" si="40"/>
        <v>3100251.3979269974</v>
      </c>
      <c r="AC209" s="3">
        <f t="shared" si="41"/>
        <v>-164434.22132277582</v>
      </c>
      <c r="AD209" s="3">
        <f t="shared" si="42"/>
        <v>3104609.0484133954</v>
      </c>
      <c r="AE209" s="3">
        <f t="shared" si="43"/>
        <v>3115251.3979269974</v>
      </c>
      <c r="AF209" s="3">
        <f t="shared" si="47"/>
        <v>-189434.22132277582</v>
      </c>
      <c r="AG209" s="3">
        <f t="shared" si="44"/>
        <v>3121005.7027333798</v>
      </c>
      <c r="AH209" s="3">
        <f t="shared" si="45"/>
        <v>0.12513366610142526</v>
      </c>
      <c r="AI209" s="3">
        <f t="shared" si="46"/>
        <v>-7.0602127395908414E-3</v>
      </c>
    </row>
    <row r="210" spans="19:35" x14ac:dyDescent="0.3">
      <c r="S210" s="6">
        <v>193</v>
      </c>
      <c r="T210" s="4">
        <f t="shared" ref="T210:T273" si="48">T209+$C$4</f>
        <v>96.5</v>
      </c>
      <c r="U210" s="3">
        <f t="shared" ref="U210:U273" si="49">U209+(W209*$C$4)+(AH209*POWER($C$4,2))</f>
        <v>-3152019.0967604881</v>
      </c>
      <c r="V210" s="3">
        <f t="shared" ref="V210:V273" si="50">V209+(X209*$C$4)+(AI209*POWER($C$4,2))</f>
        <v>176995.82764968704</v>
      </c>
      <c r="W210" s="3">
        <f t="shared" ref="W210:W273" si="51">W209+(AH209*T210)</f>
        <v>-31749.618188892335</v>
      </c>
      <c r="X210" s="3">
        <f t="shared" ref="X210:X273" si="52">X209+(AI209*T210)</f>
        <v>2560.5869385469846</v>
      </c>
      <c r="Y210" s="3">
        <f t="shared" ref="Y210:Y273" si="53">$C$19-U209</f>
        <v>3156138.2812500689</v>
      </c>
      <c r="Z210" s="3">
        <f t="shared" ref="Z210:Z273" si="54">$C$20-V209</f>
        <v>-168215.19529020204</v>
      </c>
      <c r="AA210" s="3">
        <f t="shared" ref="AA210:AA273" si="55">SQRT(POWER(Y210,2)+POWER(Z210,2))</f>
        <v>3160617.8513541715</v>
      </c>
      <c r="AB210" s="3">
        <f t="shared" ref="AB210:AB273" si="56">$F$19-U209</f>
        <v>3116138.2812500689</v>
      </c>
      <c r="AC210" s="3">
        <f t="shared" ref="AC210:AC273" si="57">$F$20-V209</f>
        <v>-165715.19529020204</v>
      </c>
      <c r="AD210" s="3">
        <f t="shared" ref="AD210:AD273" si="58">SQRT(POWER(AB210,2)+POWER(AC210,2))</f>
        <v>3120541.5097098458</v>
      </c>
      <c r="AE210" s="3">
        <f t="shared" ref="AE210:AE273" si="59">$I$19-U209</f>
        <v>3131138.2812500689</v>
      </c>
      <c r="AF210" s="3">
        <f t="shared" si="47"/>
        <v>-190715.19529020204</v>
      </c>
      <c r="AG210" s="3">
        <f t="shared" ref="AG210:AG273" si="60">SQRT(POWER(AE210,2)+POWER(AF210,2))</f>
        <v>3136941.061292707</v>
      </c>
      <c r="AH210" s="3">
        <f t="shared" ref="AH210:AH273" si="61">($C$24*(Y210/POWER(POWER(AA210,2)+POWER($C$25,2),3/2)))+($F$24*(AB210/POWER(POWER(AD210,2)+POWER($F$25,2),3/2)))+($I$24*(AE210/POWER(POWER(AG210,2)+POWER($I$25,2),3/2)))</f>
        <v>0.12386786483902863</v>
      </c>
      <c r="AI210" s="3">
        <f t="shared" ref="AI210:AI273" si="62">$C$24*(Z210/POWER(POWER(AA210,2)+POWER($C$25,2),3/2))+$F$24*(AC210/POWER(POWER(AD210,2)+POWER($F$25,2),3/2))+$I$24*(AF210/POWER(POWER(AG210,2)+POWER($I$25,2),3/2))</f>
        <v>-7.0039546730048304E-3</v>
      </c>
    </row>
    <row r="211" spans="19:35" x14ac:dyDescent="0.3">
      <c r="S211" s="6">
        <v>194</v>
      </c>
      <c r="T211" s="4">
        <f t="shared" si="48"/>
        <v>97</v>
      </c>
      <c r="U211" s="3">
        <f t="shared" si="49"/>
        <v>-3167893.8748879679</v>
      </c>
      <c r="V211" s="3">
        <f t="shared" si="50"/>
        <v>178276.11936797184</v>
      </c>
      <c r="W211" s="3">
        <f t="shared" si="51"/>
        <v>-31737.603006002948</v>
      </c>
      <c r="X211" s="3">
        <f t="shared" si="52"/>
        <v>2559.907554943703</v>
      </c>
      <c r="Y211" s="3">
        <f t="shared" si="53"/>
        <v>3172019.0967604881</v>
      </c>
      <c r="Z211" s="3">
        <f t="shared" si="54"/>
        <v>-169495.82764968704</v>
      </c>
      <c r="AA211" s="3">
        <f t="shared" si="55"/>
        <v>3176544.3465822847</v>
      </c>
      <c r="AB211" s="3">
        <f t="shared" si="56"/>
        <v>3132019.0967604881</v>
      </c>
      <c r="AC211" s="3">
        <f t="shared" si="57"/>
        <v>-166995.82764968704</v>
      </c>
      <c r="AD211" s="3">
        <f t="shared" si="58"/>
        <v>3136467.9543914981</v>
      </c>
      <c r="AE211" s="3">
        <f t="shared" si="59"/>
        <v>3147019.0967604881</v>
      </c>
      <c r="AF211" s="3">
        <f t="shared" ref="AF211:AF274" si="63">$I$20-V210</f>
        <v>-191995.82764968704</v>
      </c>
      <c r="AG211" s="3">
        <f t="shared" si="60"/>
        <v>3152870.3736769906</v>
      </c>
      <c r="AH211" s="3">
        <f t="shared" si="61"/>
        <v>0.12262163982893456</v>
      </c>
      <c r="AI211" s="3">
        <f t="shared" si="62"/>
        <v>-6.9483451834745913E-3</v>
      </c>
    </row>
    <row r="212" spans="19:35" x14ac:dyDescent="0.3">
      <c r="S212" s="6">
        <v>195</v>
      </c>
      <c r="T212" s="4">
        <f t="shared" si="48"/>
        <v>97.5</v>
      </c>
      <c r="U212" s="3">
        <f t="shared" si="49"/>
        <v>-3183762.6457355591</v>
      </c>
      <c r="V212" s="3">
        <f t="shared" si="50"/>
        <v>179556.07140835738</v>
      </c>
      <c r="W212" s="3">
        <f t="shared" si="51"/>
        <v>-31725.647396119628</v>
      </c>
      <c r="X212" s="3">
        <f t="shared" si="52"/>
        <v>2559.2300912883143</v>
      </c>
      <c r="Y212" s="3">
        <f t="shared" si="53"/>
        <v>3187893.8748879679</v>
      </c>
      <c r="Z212" s="3">
        <f t="shared" si="54"/>
        <v>-170776.11936797184</v>
      </c>
      <c r="AA212" s="3">
        <f t="shared" si="55"/>
        <v>3192464.8534470359</v>
      </c>
      <c r="AB212" s="3">
        <f t="shared" si="56"/>
        <v>3147893.8748879679</v>
      </c>
      <c r="AC212" s="3">
        <f t="shared" si="57"/>
        <v>-168276.11936797184</v>
      </c>
      <c r="AD212" s="3">
        <f t="shared" si="58"/>
        <v>3152388.4119674605</v>
      </c>
      <c r="AE212" s="3">
        <f t="shared" si="59"/>
        <v>3162893.8748879679</v>
      </c>
      <c r="AF212" s="3">
        <f t="shared" si="63"/>
        <v>-193276.11936797184</v>
      </c>
      <c r="AG212" s="3">
        <f t="shared" si="60"/>
        <v>3168793.6698563648</v>
      </c>
      <c r="AH212" s="3">
        <f t="shared" si="61"/>
        <v>0.12139458512151374</v>
      </c>
      <c r="AI212" s="3">
        <f t="shared" si="62"/>
        <v>-6.8933752326722124E-3</v>
      </c>
    </row>
    <row r="213" spans="19:35" x14ac:dyDescent="0.3">
      <c r="S213" s="6">
        <v>196</v>
      </c>
      <c r="T213" s="4">
        <f t="shared" si="48"/>
        <v>98</v>
      </c>
      <c r="U213" s="3">
        <f t="shared" si="49"/>
        <v>-3199625.4390849723</v>
      </c>
      <c r="V213" s="3">
        <f t="shared" si="50"/>
        <v>180835.68473065775</v>
      </c>
      <c r="W213" s="3">
        <f t="shared" si="51"/>
        <v>-31713.750726777718</v>
      </c>
      <c r="X213" s="3">
        <f t="shared" si="52"/>
        <v>2558.5545405155126</v>
      </c>
      <c r="Y213" s="3">
        <f t="shared" si="53"/>
        <v>3203762.6457355591</v>
      </c>
      <c r="Z213" s="3">
        <f t="shared" si="54"/>
        <v>-172056.07140835738</v>
      </c>
      <c r="AA213" s="3">
        <f t="shared" si="55"/>
        <v>3208379.4011804448</v>
      </c>
      <c r="AB213" s="3">
        <f t="shared" si="56"/>
        <v>3163762.6457355591</v>
      </c>
      <c r="AC213" s="3">
        <f t="shared" si="57"/>
        <v>-169556.07140835738</v>
      </c>
      <c r="AD213" s="3">
        <f t="shared" si="58"/>
        <v>3168302.9116394632</v>
      </c>
      <c r="AE213" s="3">
        <f t="shared" si="59"/>
        <v>3178762.6457355591</v>
      </c>
      <c r="AF213" s="3">
        <f t="shared" si="63"/>
        <v>-194556.07140835738</v>
      </c>
      <c r="AG213" s="3">
        <f t="shared" si="60"/>
        <v>3184710.9794839444</v>
      </c>
      <c r="AH213" s="3">
        <f t="shared" si="61"/>
        <v>0.12018630529924298</v>
      </c>
      <c r="AI213" s="3">
        <f t="shared" si="62"/>
        <v>-6.8390359059228266E-3</v>
      </c>
    </row>
    <row r="214" spans="19:35" x14ac:dyDescent="0.3">
      <c r="S214" s="6">
        <v>197</v>
      </c>
      <c r="T214" s="4">
        <f t="shared" si="48"/>
        <v>98.5</v>
      </c>
      <c r="U214" s="3">
        <f t="shared" si="49"/>
        <v>-3215482.2844017851</v>
      </c>
      <c r="V214" s="3">
        <f t="shared" si="50"/>
        <v>182114.96029115655</v>
      </c>
      <c r="W214" s="3">
        <f t="shared" si="51"/>
        <v>-31701.912375705742</v>
      </c>
      <c r="X214" s="3">
        <f t="shared" si="52"/>
        <v>2557.8808954787792</v>
      </c>
      <c r="Y214" s="3">
        <f t="shared" si="53"/>
        <v>3219625.4390849723</v>
      </c>
      <c r="Z214" s="3">
        <f t="shared" si="54"/>
        <v>-173335.68473065775</v>
      </c>
      <c r="AA214" s="3">
        <f t="shared" si="55"/>
        <v>3224288.0187111301</v>
      </c>
      <c r="AB214" s="3">
        <f t="shared" si="56"/>
        <v>3179625.4390849723</v>
      </c>
      <c r="AC214" s="3">
        <f t="shared" si="57"/>
        <v>-170835.68473065775</v>
      </c>
      <c r="AD214" s="3">
        <f t="shared" si="58"/>
        <v>3184211.4823066788</v>
      </c>
      <c r="AE214" s="3">
        <f t="shared" si="59"/>
        <v>3194625.4390849723</v>
      </c>
      <c r="AF214" s="3">
        <f t="shared" si="63"/>
        <v>-195835.68473065775</v>
      </c>
      <c r="AG214" s="3">
        <f t="shared" si="60"/>
        <v>3200622.3319009035</v>
      </c>
      <c r="AH214" s="3">
        <f t="shared" si="61"/>
        <v>0.11899641514922918</v>
      </c>
      <c r="AI214" s="3">
        <f t="shared" si="62"/>
        <v>-6.7853184117149228E-3</v>
      </c>
    </row>
    <row r="215" spans="19:35" x14ac:dyDescent="0.3">
      <c r="S215" s="6">
        <v>198</v>
      </c>
      <c r="T215" s="4">
        <f t="shared" si="48"/>
        <v>99</v>
      </c>
      <c r="U215" s="3">
        <f t="shared" si="49"/>
        <v>-3231333.210840534</v>
      </c>
      <c r="V215" s="3">
        <f t="shared" si="50"/>
        <v>183393.89904256634</v>
      </c>
      <c r="W215" s="3">
        <f t="shared" si="51"/>
        <v>-31690.131730605968</v>
      </c>
      <c r="X215" s="3">
        <f t="shared" si="52"/>
        <v>2557.2091489560194</v>
      </c>
      <c r="Y215" s="3">
        <f t="shared" si="53"/>
        <v>3235482.2844017851</v>
      </c>
      <c r="Z215" s="3">
        <f t="shared" si="54"/>
        <v>-174614.96029115655</v>
      </c>
      <c r="AA215" s="3">
        <f t="shared" si="55"/>
        <v>3240190.7346690679</v>
      </c>
      <c r="AB215" s="3">
        <f t="shared" si="56"/>
        <v>3195482.2844017851</v>
      </c>
      <c r="AC215" s="3">
        <f t="shared" si="57"/>
        <v>-172114.96029115655</v>
      </c>
      <c r="AD215" s="3">
        <f t="shared" si="58"/>
        <v>3200114.1525704484</v>
      </c>
      <c r="AE215" s="3">
        <f t="shared" si="59"/>
        <v>3210482.2844017851</v>
      </c>
      <c r="AF215" s="3">
        <f t="shared" si="63"/>
        <v>-197114.96029115655</v>
      </c>
      <c r="AG215" s="3">
        <f t="shared" si="60"/>
        <v>3216527.7561414405</v>
      </c>
      <c r="AH215" s="3">
        <f t="shared" si="61"/>
        <v>0.11782453934758881</v>
      </c>
      <c r="AI215" s="3">
        <f t="shared" si="62"/>
        <v>-6.7322140811100755E-3</v>
      </c>
    </row>
    <row r="216" spans="19:35" x14ac:dyDescent="0.3">
      <c r="S216" s="6">
        <v>199</v>
      </c>
      <c r="T216" s="4">
        <f t="shared" si="48"/>
        <v>99.5</v>
      </c>
      <c r="U216" s="3">
        <f t="shared" si="49"/>
        <v>-3247178.247249702</v>
      </c>
      <c r="V216" s="3">
        <f t="shared" si="50"/>
        <v>184672.5019339908</v>
      </c>
      <c r="W216" s="3">
        <f t="shared" si="51"/>
        <v>-31678.408188940884</v>
      </c>
      <c r="X216" s="3">
        <f t="shared" si="52"/>
        <v>2556.5392936549488</v>
      </c>
      <c r="Y216" s="3">
        <f t="shared" si="53"/>
        <v>3251333.210840534</v>
      </c>
      <c r="Z216" s="3">
        <f t="shared" si="54"/>
        <v>-175893.89904256634</v>
      </c>
      <c r="AA216" s="3">
        <f t="shared" si="55"/>
        <v>3256087.5773902354</v>
      </c>
      <c r="AB216" s="3">
        <f t="shared" si="56"/>
        <v>3211333.210840534</v>
      </c>
      <c r="AC216" s="3">
        <f t="shared" si="57"/>
        <v>-173393.89904256634</v>
      </c>
      <c r="AD216" s="3">
        <f t="shared" si="58"/>
        <v>3216010.950738905</v>
      </c>
      <c r="AE216" s="3">
        <f t="shared" si="59"/>
        <v>3226333.210840534</v>
      </c>
      <c r="AF216" s="3">
        <f t="shared" si="63"/>
        <v>-198393.89904256634</v>
      </c>
      <c r="AG216" s="3">
        <f t="shared" si="60"/>
        <v>3232427.2809376395</v>
      </c>
      <c r="AH216" s="3">
        <f t="shared" si="61"/>
        <v>0.11667031215518368</v>
      </c>
      <c r="AI216" s="3">
        <f t="shared" si="62"/>
        <v>-6.6797143670604669E-3</v>
      </c>
    </row>
    <row r="217" spans="19:35" x14ac:dyDescent="0.3">
      <c r="S217" s="6">
        <v>200</v>
      </c>
      <c r="T217" s="4">
        <f t="shared" si="48"/>
        <v>100</v>
      </c>
      <c r="U217" s="3">
        <f t="shared" si="49"/>
        <v>-3263017.4221765944</v>
      </c>
      <c r="V217" s="3">
        <f t="shared" si="50"/>
        <v>185950.76991088968</v>
      </c>
      <c r="W217" s="3">
        <f t="shared" si="51"/>
        <v>-31666.741157725366</v>
      </c>
      <c r="X217" s="3">
        <f t="shared" si="52"/>
        <v>2555.8713222182428</v>
      </c>
      <c r="Y217" s="3">
        <f t="shared" si="53"/>
        <v>3267178.247249702</v>
      </c>
      <c r="Z217" s="3">
        <f t="shared" si="54"/>
        <v>-177172.5019339908</v>
      </c>
      <c r="AA217" s="3">
        <f t="shared" si="55"/>
        <v>3271978.5749211721</v>
      </c>
      <c r="AB217" s="3">
        <f t="shared" si="56"/>
        <v>3227178.247249702</v>
      </c>
      <c r="AC217" s="3">
        <f t="shared" si="57"/>
        <v>-174672.5019339908</v>
      </c>
      <c r="AD217" s="3">
        <f t="shared" si="58"/>
        <v>3231901.9048315096</v>
      </c>
      <c r="AE217" s="3">
        <f t="shared" si="59"/>
        <v>3242178.247249702</v>
      </c>
      <c r="AF217" s="3">
        <f t="shared" si="63"/>
        <v>-199672.5019339908</v>
      </c>
      <c r="AG217" s="3">
        <f t="shared" si="60"/>
        <v>3248320.9347242354</v>
      </c>
      <c r="AH217" s="3">
        <f t="shared" si="61"/>
        <v>0.11553337712425396</v>
      </c>
      <c r="AI217" s="3">
        <f t="shared" si="62"/>
        <v>-6.6278108436428791E-3</v>
      </c>
    </row>
    <row r="218" spans="19:35" x14ac:dyDescent="0.3">
      <c r="S218" s="6">
        <v>201</v>
      </c>
      <c r="T218" s="4">
        <f t="shared" si="48"/>
        <v>100.5</v>
      </c>
      <c r="U218" s="3">
        <f t="shared" si="49"/>
        <v>-3278850.7638721126</v>
      </c>
      <c r="V218" s="3">
        <f t="shared" si="50"/>
        <v>187228.70391504609</v>
      </c>
      <c r="W218" s="3">
        <f t="shared" si="51"/>
        <v>-31655.130053324378</v>
      </c>
      <c r="X218" s="3">
        <f t="shared" si="52"/>
        <v>2555.2052272284568</v>
      </c>
      <c r="Y218" s="3">
        <f t="shared" si="53"/>
        <v>3283017.4221765944</v>
      </c>
      <c r="Z218" s="3">
        <f t="shared" si="54"/>
        <v>-178450.76991088968</v>
      </c>
      <c r="AA218" s="3">
        <f t="shared" si="55"/>
        <v>3287863.7550234408</v>
      </c>
      <c r="AB218" s="3">
        <f t="shared" si="56"/>
        <v>3243017.4221765944</v>
      </c>
      <c r="AC218" s="3">
        <f t="shared" si="57"/>
        <v>-175950.76991088968</v>
      </c>
      <c r="AD218" s="3">
        <f t="shared" si="58"/>
        <v>3247787.0425834819</v>
      </c>
      <c r="AE218" s="3">
        <f t="shared" si="59"/>
        <v>3258017.4221765944</v>
      </c>
      <c r="AF218" s="3">
        <f t="shared" si="63"/>
        <v>-200950.76991088968</v>
      </c>
      <c r="AG218" s="3">
        <f t="shared" si="60"/>
        <v>3264208.7456432683</v>
      </c>
      <c r="AH218" s="3">
        <f t="shared" si="61"/>
        <v>0.11441338681550169</v>
      </c>
      <c r="AI218" s="3">
        <f t="shared" si="62"/>
        <v>-6.5764952052167654E-3</v>
      </c>
    </row>
    <row r="219" spans="19:35" x14ac:dyDescent="0.3">
      <c r="S219" s="6">
        <v>202</v>
      </c>
      <c r="T219" s="4">
        <f t="shared" si="48"/>
        <v>101</v>
      </c>
      <c r="U219" s="3">
        <f t="shared" si="49"/>
        <v>-3294678.3002954284</v>
      </c>
      <c r="V219" s="3">
        <f t="shared" si="50"/>
        <v>188506.30488453651</v>
      </c>
      <c r="W219" s="3">
        <f t="shared" si="51"/>
        <v>-31643.574301256012</v>
      </c>
      <c r="X219" s="3">
        <f t="shared" si="52"/>
        <v>2554.54100121273</v>
      </c>
      <c r="Y219" s="3">
        <f t="shared" si="53"/>
        <v>3298850.7638721126</v>
      </c>
      <c r="Z219" s="3">
        <f t="shared" si="54"/>
        <v>-179728.70391504609</v>
      </c>
      <c r="AA219" s="3">
        <f t="shared" si="55"/>
        <v>3303743.1451779972</v>
      </c>
      <c r="AB219" s="3">
        <f t="shared" si="56"/>
        <v>3258850.7638721126</v>
      </c>
      <c r="AC219" s="3">
        <f t="shared" si="57"/>
        <v>-177228.70391504609</v>
      </c>
      <c r="AD219" s="3">
        <f t="shared" si="58"/>
        <v>3263666.3914501523</v>
      </c>
      <c r="AE219" s="3">
        <f t="shared" si="59"/>
        <v>3273850.7638721126</v>
      </c>
      <c r="AF219" s="3">
        <f t="shared" si="63"/>
        <v>-202228.70391504609</v>
      </c>
      <c r="AG219" s="3">
        <f t="shared" si="60"/>
        <v>3280090.7415486504</v>
      </c>
      <c r="AH219" s="3">
        <f t="shared" si="61"/>
        <v>0.11331000252519988</v>
      </c>
      <c r="AI219" s="3">
        <f t="shared" si="62"/>
        <v>-6.5257592655135685E-3</v>
      </c>
    </row>
    <row r="220" spans="19:35" x14ac:dyDescent="0.3">
      <c r="S220" s="6">
        <v>203</v>
      </c>
      <c r="T220" s="4">
        <f t="shared" si="48"/>
        <v>101.5</v>
      </c>
      <c r="U220" s="3">
        <f t="shared" si="49"/>
        <v>-3310500.0591185559</v>
      </c>
      <c r="V220" s="3">
        <f t="shared" si="50"/>
        <v>189783.57375370307</v>
      </c>
      <c r="W220" s="3">
        <f t="shared" si="51"/>
        <v>-31632.073335999703</v>
      </c>
      <c r="X220" s="3">
        <f t="shared" si="52"/>
        <v>2553.8786366472805</v>
      </c>
      <c r="Y220" s="3">
        <f t="shared" si="53"/>
        <v>3314678.3002954284</v>
      </c>
      <c r="Z220" s="3">
        <f t="shared" si="54"/>
        <v>-181006.30488453651</v>
      </c>
      <c r="AA220" s="3">
        <f t="shared" si="55"/>
        <v>3319616.7725894721</v>
      </c>
      <c r="AB220" s="3">
        <f t="shared" si="56"/>
        <v>3274678.3002954284</v>
      </c>
      <c r="AC220" s="3">
        <f t="shared" si="57"/>
        <v>-178506.30488453651</v>
      </c>
      <c r="AD220" s="3">
        <f t="shared" si="58"/>
        <v>3279539.9786112211</v>
      </c>
      <c r="AE220" s="3">
        <f t="shared" si="59"/>
        <v>3289678.3002954284</v>
      </c>
      <c r="AF220" s="3">
        <f t="shared" si="63"/>
        <v>-203506.30488453651</v>
      </c>
      <c r="AG220" s="3">
        <f t="shared" si="60"/>
        <v>3295966.9500106303</v>
      </c>
      <c r="AH220" s="3">
        <f t="shared" si="61"/>
        <v>0.11222289402192596</v>
      </c>
      <c r="AI220" s="3">
        <f t="shared" si="62"/>
        <v>-6.4755949566641024E-3</v>
      </c>
    </row>
    <row r="221" spans="19:35" x14ac:dyDescent="0.3">
      <c r="S221" s="6">
        <v>204</v>
      </c>
      <c r="T221" s="4">
        <f t="shared" si="48"/>
        <v>102</v>
      </c>
      <c r="U221" s="3">
        <f t="shared" si="49"/>
        <v>-3326316.0677308324</v>
      </c>
      <c r="V221" s="3">
        <f t="shared" si="50"/>
        <v>191060.51145312798</v>
      </c>
      <c r="W221" s="3">
        <f t="shared" si="51"/>
        <v>-31620.626600809468</v>
      </c>
      <c r="X221" s="3">
        <f t="shared" si="52"/>
        <v>2553.2181259617009</v>
      </c>
      <c r="Y221" s="3">
        <f t="shared" si="53"/>
        <v>3330500.0591185559</v>
      </c>
      <c r="Z221" s="3">
        <f t="shared" si="54"/>
        <v>-182283.57375370307</v>
      </c>
      <c r="AA221" s="3">
        <f t="shared" si="55"/>
        <v>3335484.6641903669</v>
      </c>
      <c r="AB221" s="3">
        <f t="shared" si="56"/>
        <v>3290500.0591185559</v>
      </c>
      <c r="AC221" s="3">
        <f t="shared" si="57"/>
        <v>-179783.57375370307</v>
      </c>
      <c r="AD221" s="3">
        <f t="shared" si="58"/>
        <v>3295407.8309749267</v>
      </c>
      <c r="AE221" s="3">
        <f t="shared" si="59"/>
        <v>3305500.0591185559</v>
      </c>
      <c r="AF221" s="3">
        <f t="shared" si="63"/>
        <v>-204783.57375370307</v>
      </c>
      <c r="AG221" s="3">
        <f t="shared" si="60"/>
        <v>3311837.3983201701</v>
      </c>
      <c r="AH221" s="3">
        <f t="shared" si="61"/>
        <v>0.1111517392925257</v>
      </c>
      <c r="AI221" s="3">
        <f t="shared" si="62"/>
        <v>-6.4259943281698654E-3</v>
      </c>
    </row>
    <row r="222" spans="19:35" x14ac:dyDescent="0.3">
      <c r="S222" s="6">
        <v>205</v>
      </c>
      <c r="T222" s="4">
        <f t="shared" si="48"/>
        <v>102.5</v>
      </c>
      <c r="U222" s="3">
        <f t="shared" si="49"/>
        <v>-3342126.3532433021</v>
      </c>
      <c r="V222" s="3">
        <f t="shared" si="50"/>
        <v>192337.11890961026</v>
      </c>
      <c r="W222" s="3">
        <f t="shared" si="51"/>
        <v>-31609.233547531985</v>
      </c>
      <c r="X222" s="3">
        <f t="shared" si="52"/>
        <v>2552.5594615430637</v>
      </c>
      <c r="Y222" s="3">
        <f t="shared" si="53"/>
        <v>3346316.0677308324</v>
      </c>
      <c r="Z222" s="3">
        <f t="shared" si="54"/>
        <v>-183560.51145312798</v>
      </c>
      <c r="AA222" s="3">
        <f t="shared" si="55"/>
        <v>3351346.8466451624</v>
      </c>
      <c r="AB222" s="3">
        <f t="shared" si="56"/>
        <v>3306316.0677308324</v>
      </c>
      <c r="AC222" s="3">
        <f t="shared" si="57"/>
        <v>-181060.51145312798</v>
      </c>
      <c r="AD222" s="3">
        <f t="shared" si="58"/>
        <v>3311269.9751821416</v>
      </c>
      <c r="AE222" s="3">
        <f t="shared" si="59"/>
        <v>3321316.0677308324</v>
      </c>
      <c r="AF222" s="3">
        <f t="shared" si="63"/>
        <v>-206060.51145312798</v>
      </c>
      <c r="AG222" s="3">
        <f t="shared" si="60"/>
        <v>3327702.1134932321</v>
      </c>
      <c r="AH222" s="3">
        <f t="shared" si="61"/>
        <v>0.11009622429694928</v>
      </c>
      <c r="AI222" s="3">
        <f t="shared" si="62"/>
        <v>-6.3769495458245546E-3</v>
      </c>
    </row>
    <row r="223" spans="19:35" x14ac:dyDescent="0.3">
      <c r="S223" s="6">
        <v>206</v>
      </c>
      <c r="T223" s="4">
        <f t="shared" si="48"/>
        <v>103</v>
      </c>
      <c r="U223" s="3">
        <f t="shared" si="49"/>
        <v>-3357930.9424930122</v>
      </c>
      <c r="V223" s="3">
        <f t="shared" si="50"/>
        <v>193613.39704614441</v>
      </c>
      <c r="W223" s="3">
        <f t="shared" si="51"/>
        <v>-31597.893636429399</v>
      </c>
      <c r="X223" s="3">
        <f t="shared" si="52"/>
        <v>2551.9026357398438</v>
      </c>
      <c r="Y223" s="3">
        <f t="shared" si="53"/>
        <v>3362126.3532433021</v>
      </c>
      <c r="Z223" s="3">
        <f t="shared" si="54"/>
        <v>-184837.11890961026</v>
      </c>
      <c r="AA223" s="3">
        <f t="shared" si="55"/>
        <v>3367203.3463543467</v>
      </c>
      <c r="AB223" s="3">
        <f t="shared" si="56"/>
        <v>3322126.3532433021</v>
      </c>
      <c r="AC223" s="3">
        <f t="shared" si="57"/>
        <v>-182337.11890961026</v>
      </c>
      <c r="AD223" s="3">
        <f t="shared" si="58"/>
        <v>3327126.4376103743</v>
      </c>
      <c r="AE223" s="3">
        <f t="shared" si="59"/>
        <v>3337126.3532433021</v>
      </c>
      <c r="AF223" s="3">
        <f t="shared" si="63"/>
        <v>-207337.11890961026</v>
      </c>
      <c r="AG223" s="3">
        <f t="shared" si="60"/>
        <v>3343561.122274973</v>
      </c>
      <c r="AH223" s="3">
        <f t="shared" si="61"/>
        <v>0.10905604273159641</v>
      </c>
      <c r="AI223" s="3">
        <f t="shared" si="62"/>
        <v>-6.3284528905906186E-3</v>
      </c>
    </row>
    <row r="224" spans="19:35" x14ac:dyDescent="0.3">
      <c r="S224" s="6">
        <v>207</v>
      </c>
      <c r="T224" s="4">
        <f t="shared" si="48"/>
        <v>103.5</v>
      </c>
      <c r="U224" s="3">
        <f t="shared" si="49"/>
        <v>-3373729.8620472164</v>
      </c>
      <c r="V224" s="3">
        <f t="shared" si="50"/>
        <v>194889.34678190111</v>
      </c>
      <c r="W224" s="3">
        <f t="shared" si="51"/>
        <v>-31586.60633600668</v>
      </c>
      <c r="X224" s="3">
        <f t="shared" si="52"/>
        <v>2551.2476408656676</v>
      </c>
      <c r="Y224" s="3">
        <f t="shared" si="53"/>
        <v>3377930.9424930122</v>
      </c>
      <c r="Z224" s="3">
        <f t="shared" si="54"/>
        <v>-186113.39704614441</v>
      </c>
      <c r="AA224" s="3">
        <f t="shared" si="55"/>
        <v>3383054.1894583637</v>
      </c>
      <c r="AB224" s="3">
        <f t="shared" si="56"/>
        <v>3337930.9424930122</v>
      </c>
      <c r="AC224" s="3">
        <f t="shared" si="57"/>
        <v>-183613.39704614441</v>
      </c>
      <c r="AD224" s="3">
        <f t="shared" si="58"/>
        <v>3342977.2443776987</v>
      </c>
      <c r="AE224" s="3">
        <f t="shared" si="59"/>
        <v>3352930.9424930122</v>
      </c>
      <c r="AF224" s="3">
        <f t="shared" si="63"/>
        <v>-208613.39704614441</v>
      </c>
      <c r="AG224" s="3">
        <f t="shared" si="60"/>
        <v>3359414.4511438613</v>
      </c>
      <c r="AH224" s="3">
        <f t="shared" si="61"/>
        <v>0.10803089580083726</v>
      </c>
      <c r="AI224" s="3">
        <f t="shared" si="62"/>
        <v>-6.2804967574359282E-3</v>
      </c>
    </row>
    <row r="225" spans="19:35" x14ac:dyDescent="0.3">
      <c r="S225" s="6">
        <v>208</v>
      </c>
      <c r="T225" s="4">
        <f t="shared" si="48"/>
        <v>104</v>
      </c>
      <c r="U225" s="3">
        <f t="shared" si="49"/>
        <v>-3389523.1382074957</v>
      </c>
      <c r="V225" s="3">
        <f t="shared" si="50"/>
        <v>196164.96903220977</v>
      </c>
      <c r="W225" s="3">
        <f t="shared" si="51"/>
        <v>-31575.371122843393</v>
      </c>
      <c r="X225" s="3">
        <f t="shared" si="52"/>
        <v>2550.5944692028943</v>
      </c>
      <c r="Y225" s="3">
        <f t="shared" si="53"/>
        <v>3393729.8620472164</v>
      </c>
      <c r="Z225" s="3">
        <f t="shared" si="54"/>
        <v>-187389.34678190111</v>
      </c>
      <c r="AA225" s="3">
        <f t="shared" si="55"/>
        <v>3398899.4018414794</v>
      </c>
      <c r="AB225" s="3">
        <f t="shared" si="56"/>
        <v>3353729.8620472164</v>
      </c>
      <c r="AC225" s="3">
        <f t="shared" si="57"/>
        <v>-184889.34678190111</v>
      </c>
      <c r="AD225" s="3">
        <f t="shared" si="58"/>
        <v>3358822.4213466062</v>
      </c>
      <c r="AE225" s="3">
        <f t="shared" si="59"/>
        <v>3368729.8620472164</v>
      </c>
      <c r="AF225" s="3">
        <f t="shared" si="63"/>
        <v>-209889.34678190111</v>
      </c>
      <c r="AG225" s="3">
        <f t="shared" si="60"/>
        <v>3375262.1263157018</v>
      </c>
      <c r="AH225" s="3">
        <f t="shared" si="61"/>
        <v>0.10702049199639335</v>
      </c>
      <c r="AI225" s="3">
        <f t="shared" si="62"/>
        <v>-6.2330736541355968E-3</v>
      </c>
    </row>
    <row r="226" spans="19:35" x14ac:dyDescent="0.3">
      <c r="S226" s="6">
        <v>209</v>
      </c>
      <c r="T226" s="4">
        <f t="shared" si="48"/>
        <v>104.5</v>
      </c>
      <c r="U226" s="3">
        <f t="shared" si="49"/>
        <v>-3405310.7970137945</v>
      </c>
      <c r="V226" s="3">
        <f t="shared" si="50"/>
        <v>197440.26470854282</v>
      </c>
      <c r="W226" s="3">
        <f t="shared" si="51"/>
        <v>-31564.18748142977</v>
      </c>
      <c r="X226" s="3">
        <f t="shared" si="52"/>
        <v>2549.943113006037</v>
      </c>
      <c r="Y226" s="3">
        <f t="shared" si="53"/>
        <v>3409523.1382074957</v>
      </c>
      <c r="Z226" s="3">
        <f t="shared" si="54"/>
        <v>-188664.96903220977</v>
      </c>
      <c r="AA226" s="3">
        <f t="shared" si="55"/>
        <v>3414739.0091355755</v>
      </c>
      <c r="AB226" s="3">
        <f t="shared" si="56"/>
        <v>3369523.1382074957</v>
      </c>
      <c r="AC226" s="3">
        <f t="shared" si="57"/>
        <v>-186164.96903220977</v>
      </c>
      <c r="AD226" s="3">
        <f t="shared" si="58"/>
        <v>3374661.9941277755</v>
      </c>
      <c r="AE226" s="3">
        <f t="shared" si="59"/>
        <v>3384523.1382074957</v>
      </c>
      <c r="AF226" s="3">
        <f t="shared" si="63"/>
        <v>-211164.96903220977</v>
      </c>
      <c r="AG226" s="3">
        <f t="shared" si="60"/>
        <v>3391104.1737475847</v>
      </c>
      <c r="AH226" s="3">
        <f t="shared" si="61"/>
        <v>0.1060245468842613</v>
      </c>
      <c r="AI226" s="3">
        <f t="shared" si="62"/>
        <v>-6.1861762000425848E-3</v>
      </c>
    </row>
    <row r="227" spans="19:35" x14ac:dyDescent="0.3">
      <c r="S227" s="6">
        <v>210</v>
      </c>
      <c r="T227" s="4">
        <f t="shared" si="48"/>
        <v>105</v>
      </c>
      <c r="U227" s="3">
        <f t="shared" si="49"/>
        <v>-3421092.8642483726</v>
      </c>
      <c r="V227" s="3">
        <f t="shared" si="50"/>
        <v>198715.23471850177</v>
      </c>
      <c r="W227" s="3">
        <f t="shared" si="51"/>
        <v>-31553.054904006924</v>
      </c>
      <c r="X227" s="3">
        <f t="shared" si="52"/>
        <v>2549.2935645050325</v>
      </c>
      <c r="Y227" s="3">
        <f t="shared" si="53"/>
        <v>3425310.7970137945</v>
      </c>
      <c r="Z227" s="3">
        <f t="shared" si="54"/>
        <v>-189940.26470854282</v>
      </c>
      <c r="AA227" s="3">
        <f t="shared" si="55"/>
        <v>3430573.0367238689</v>
      </c>
      <c r="AB227" s="3">
        <f t="shared" si="56"/>
        <v>3385310.7970137945</v>
      </c>
      <c r="AC227" s="3">
        <f t="shared" si="57"/>
        <v>-187440.26470854282</v>
      </c>
      <c r="AD227" s="3">
        <f t="shared" si="58"/>
        <v>3390495.9880837761</v>
      </c>
      <c r="AE227" s="3">
        <f t="shared" si="59"/>
        <v>3400310.7970137945</v>
      </c>
      <c r="AF227" s="3">
        <f t="shared" si="63"/>
        <v>-212440.26470854282</v>
      </c>
      <c r="AG227" s="3">
        <f t="shared" si="60"/>
        <v>3406940.6191417575</v>
      </c>
      <c r="AH227" s="3">
        <f t="shared" si="61"/>
        <v>0.10504278289888919</v>
      </c>
      <c r="AI227" s="3">
        <f t="shared" si="62"/>
        <v>-6.1397971248313508E-3</v>
      </c>
    </row>
    <row r="228" spans="19:35" x14ac:dyDescent="0.3">
      <c r="S228" s="6">
        <v>211</v>
      </c>
      <c r="T228" s="4">
        <f t="shared" si="48"/>
        <v>105.5</v>
      </c>
      <c r="U228" s="3">
        <f t="shared" si="49"/>
        <v>-3436869.3654396804</v>
      </c>
      <c r="V228" s="3">
        <f t="shared" si="50"/>
        <v>199989.87996580501</v>
      </c>
      <c r="W228" s="3">
        <f t="shared" si="51"/>
        <v>-31541.972890411093</v>
      </c>
      <c r="X228" s="3">
        <f t="shared" si="52"/>
        <v>2548.6458159083627</v>
      </c>
      <c r="Y228" s="3">
        <f t="shared" si="53"/>
        <v>3441092.8642483726</v>
      </c>
      <c r="Z228" s="3">
        <f t="shared" si="54"/>
        <v>-191215.23471850177</v>
      </c>
      <c r="AA228" s="3">
        <f t="shared" si="55"/>
        <v>3446401.509744551</v>
      </c>
      <c r="AB228" s="3">
        <f t="shared" si="56"/>
        <v>3401092.8642483726</v>
      </c>
      <c r="AC228" s="3">
        <f t="shared" si="57"/>
        <v>-188715.23471850177</v>
      </c>
      <c r="AD228" s="3">
        <f t="shared" si="58"/>
        <v>3406324.4283326948</v>
      </c>
      <c r="AE228" s="3">
        <f t="shared" si="59"/>
        <v>3416092.8642483726</v>
      </c>
      <c r="AF228" s="3">
        <f t="shared" si="63"/>
        <v>-213715.23471850177</v>
      </c>
      <c r="AG228" s="3">
        <f t="shared" si="60"/>
        <v>3422771.4879494123</v>
      </c>
      <c r="AH228" s="3">
        <f t="shared" si="61"/>
        <v>0.10407492914432709</v>
      </c>
      <c r="AI228" s="3">
        <f t="shared" si="62"/>
        <v>-6.093929267218327E-3</v>
      </c>
    </row>
    <row r="229" spans="19:35" x14ac:dyDescent="0.3">
      <c r="S229" s="6">
        <v>212</v>
      </c>
      <c r="T229" s="4">
        <f t="shared" si="48"/>
        <v>106</v>
      </c>
      <c r="U229" s="3">
        <f t="shared" si="49"/>
        <v>-3452640.3258661539</v>
      </c>
      <c r="V229" s="3">
        <f t="shared" si="50"/>
        <v>201264.20135027688</v>
      </c>
      <c r="W229" s="3">
        <f t="shared" si="51"/>
        <v>-31530.940947921794</v>
      </c>
      <c r="X229" s="3">
        <f t="shared" si="52"/>
        <v>2547.9998594060376</v>
      </c>
      <c r="Y229" s="3">
        <f t="shared" si="53"/>
        <v>3456869.3654396804</v>
      </c>
      <c r="Z229" s="3">
        <f t="shared" si="54"/>
        <v>-192489.87996580501</v>
      </c>
      <c r="AA229" s="3">
        <f t="shared" si="55"/>
        <v>3462224.4530943669</v>
      </c>
      <c r="AB229" s="3">
        <f t="shared" si="56"/>
        <v>3416869.3654396804</v>
      </c>
      <c r="AC229" s="3">
        <f t="shared" si="57"/>
        <v>-189989.87996580501</v>
      </c>
      <c r="AD229" s="3">
        <f t="shared" si="58"/>
        <v>3422147.3397516925</v>
      </c>
      <c r="AE229" s="3">
        <f t="shared" si="59"/>
        <v>3431869.3654396804</v>
      </c>
      <c r="AF229" s="3">
        <f t="shared" si="63"/>
        <v>-214989.87996580501</v>
      </c>
      <c r="AG229" s="3">
        <f t="shared" si="60"/>
        <v>3438596.8053744053</v>
      </c>
      <c r="AH229" s="3">
        <f t="shared" si="61"/>
        <v>0.1031207212020768</v>
      </c>
      <c r="AI229" s="3">
        <f t="shared" si="62"/>
        <v>-6.0485655736622727E-3</v>
      </c>
    </row>
    <row r="230" spans="19:35" x14ac:dyDescent="0.3">
      <c r="S230" s="6">
        <v>213</v>
      </c>
      <c r="T230" s="4">
        <f t="shared" si="48"/>
        <v>106.5</v>
      </c>
      <c r="U230" s="3">
        <f t="shared" si="49"/>
        <v>-3468405.7705599344</v>
      </c>
      <c r="V230" s="3">
        <f t="shared" si="50"/>
        <v>202538.19976783849</v>
      </c>
      <c r="W230" s="3">
        <f t="shared" si="51"/>
        <v>-31519.958591113773</v>
      </c>
      <c r="X230" s="3">
        <f t="shared" si="52"/>
        <v>2547.3556871724427</v>
      </c>
      <c r="Y230" s="3">
        <f t="shared" si="53"/>
        <v>3472640.3258661539</v>
      </c>
      <c r="Z230" s="3">
        <f t="shared" si="54"/>
        <v>-193764.20135027688</v>
      </c>
      <c r="AA230" s="3">
        <f t="shared" si="55"/>
        <v>3478041.8914321167</v>
      </c>
      <c r="AB230" s="3">
        <f t="shared" si="56"/>
        <v>3432640.3258661539</v>
      </c>
      <c r="AC230" s="3">
        <f t="shared" si="57"/>
        <v>-191264.20135027688</v>
      </c>
      <c r="AD230" s="3">
        <f t="shared" si="58"/>
        <v>3437964.7469804948</v>
      </c>
      <c r="AE230" s="3">
        <f t="shared" si="59"/>
        <v>3447640.3258661539</v>
      </c>
      <c r="AF230" s="3">
        <f t="shared" si="63"/>
        <v>-216264.20135027688</v>
      </c>
      <c r="AG230" s="3">
        <f t="shared" si="60"/>
        <v>3454416.5963768982</v>
      </c>
      <c r="AH230" s="3">
        <f t="shared" si="61"/>
        <v>0.10217990094538996</v>
      </c>
      <c r="AI230" s="3">
        <f t="shared" si="62"/>
        <v>-6.0036990970480705E-3</v>
      </c>
    </row>
    <row r="231" spans="19:35" x14ac:dyDescent="0.3">
      <c r="S231" s="6">
        <v>214</v>
      </c>
      <c r="T231" s="4">
        <f t="shared" si="48"/>
        <v>107</v>
      </c>
      <c r="U231" s="3">
        <f t="shared" si="49"/>
        <v>-3484165.7243105159</v>
      </c>
      <c r="V231" s="3">
        <f t="shared" si="50"/>
        <v>203811.87611049993</v>
      </c>
      <c r="W231" s="3">
        <f t="shared" si="51"/>
        <v>-31509.025341712615</v>
      </c>
      <c r="X231" s="3">
        <f t="shared" si="52"/>
        <v>2546.7132913690584</v>
      </c>
      <c r="Y231" s="3">
        <f t="shared" si="53"/>
        <v>3488405.7705599344</v>
      </c>
      <c r="Z231" s="3">
        <f t="shared" si="54"/>
        <v>-195038.19976783849</v>
      </c>
      <c r="AA231" s="3">
        <f t="shared" si="55"/>
        <v>3493853.8491820931</v>
      </c>
      <c r="AB231" s="3">
        <f t="shared" si="56"/>
        <v>3448405.7705599344</v>
      </c>
      <c r="AC231" s="3">
        <f t="shared" si="57"/>
        <v>-192538.19976783849</v>
      </c>
      <c r="AD231" s="3">
        <f t="shared" si="58"/>
        <v>3453776.6744248094</v>
      </c>
      <c r="AE231" s="3">
        <f t="shared" si="59"/>
        <v>3463405.7705599344</v>
      </c>
      <c r="AF231" s="3">
        <f t="shared" si="63"/>
        <v>-217538.19976783849</v>
      </c>
      <c r="AG231" s="3">
        <f t="shared" si="60"/>
        <v>3470230.8856769293</v>
      </c>
      <c r="AH231" s="3">
        <f t="shared" si="61"/>
        <v>0.1012522163597622</v>
      </c>
      <c r="AI231" s="3">
        <f t="shared" si="62"/>
        <v>-5.9593229953564582E-3</v>
      </c>
    </row>
    <row r="232" spans="19:35" x14ac:dyDescent="0.3">
      <c r="S232" s="6">
        <v>215</v>
      </c>
      <c r="T232" s="4">
        <f t="shared" si="48"/>
        <v>107.5</v>
      </c>
      <c r="U232" s="3">
        <f t="shared" si="49"/>
        <v>-3499920.2116683181</v>
      </c>
      <c r="V232" s="3">
        <f t="shared" si="50"/>
        <v>205085.23126635372</v>
      </c>
      <c r="W232" s="3">
        <f t="shared" si="51"/>
        <v>-31498.140728453942</v>
      </c>
      <c r="X232" s="3">
        <f t="shared" si="52"/>
        <v>2546.0726641470578</v>
      </c>
      <c r="Y232" s="3">
        <f t="shared" si="53"/>
        <v>3504165.7243105159</v>
      </c>
      <c r="Z232" s="3">
        <f t="shared" si="54"/>
        <v>-196311.87611049993</v>
      </c>
      <c r="AA232" s="3">
        <f t="shared" si="55"/>
        <v>3509660.3505374514</v>
      </c>
      <c r="AB232" s="3">
        <f t="shared" si="56"/>
        <v>3464165.7243105159</v>
      </c>
      <c r="AC232" s="3">
        <f t="shared" si="57"/>
        <v>-193811.87611049993</v>
      </c>
      <c r="AD232" s="3">
        <f t="shared" si="58"/>
        <v>3469583.1462596878</v>
      </c>
      <c r="AE232" s="3">
        <f t="shared" si="59"/>
        <v>3479165.7243105159</v>
      </c>
      <c r="AF232" s="3">
        <f t="shared" si="63"/>
        <v>-218811.87611049993</v>
      </c>
      <c r="AG232" s="3">
        <f t="shared" si="60"/>
        <v>3486039.6977579175</v>
      </c>
      <c r="AH232" s="3">
        <f t="shared" si="61"/>
        <v>0.10033742136938922</v>
      </c>
      <c r="AI232" s="3">
        <f t="shared" si="62"/>
        <v>-5.9154305303225482E-3</v>
      </c>
    </row>
    <row r="233" spans="19:35" x14ac:dyDescent="0.3">
      <c r="S233" s="6">
        <v>216</v>
      </c>
      <c r="T233" s="4">
        <f t="shared" si="48"/>
        <v>108</v>
      </c>
      <c r="U233" s="3">
        <f t="shared" si="49"/>
        <v>-3515669.2569481898</v>
      </c>
      <c r="V233" s="3">
        <f t="shared" si="50"/>
        <v>206358.26611956963</v>
      </c>
      <c r="W233" s="3">
        <f t="shared" si="51"/>
        <v>-31487.304286946048</v>
      </c>
      <c r="X233" s="3">
        <f t="shared" si="52"/>
        <v>2545.4337976497832</v>
      </c>
      <c r="Y233" s="3">
        <f t="shared" si="53"/>
        <v>3519920.2116683181</v>
      </c>
      <c r="Z233" s="3">
        <f t="shared" si="54"/>
        <v>-197585.23126635372</v>
      </c>
      <c r="AA233" s="3">
        <f t="shared" si="55"/>
        <v>3525461.4194635167</v>
      </c>
      <c r="AB233" s="3">
        <f t="shared" si="56"/>
        <v>3479920.2116683181</v>
      </c>
      <c r="AC233" s="3">
        <f t="shared" si="57"/>
        <v>-195085.23126635372</v>
      </c>
      <c r="AD233" s="3">
        <f t="shared" si="58"/>
        <v>3485384.1864328124</v>
      </c>
      <c r="AE233" s="3">
        <f t="shared" si="59"/>
        <v>3494920.2116683181</v>
      </c>
      <c r="AF233" s="3">
        <f t="shared" si="63"/>
        <v>-220085.23126635372</v>
      </c>
      <c r="AG233" s="3">
        <f t="shared" si="60"/>
        <v>3501843.056870094</v>
      </c>
      <c r="AH233" s="3">
        <f t="shared" si="61"/>
        <v>9.9435275669365997E-2</v>
      </c>
      <c r="AI233" s="3">
        <f t="shared" si="62"/>
        <v>-5.8720150660859331E-3</v>
      </c>
    </row>
    <row r="234" spans="19:35" x14ac:dyDescent="0.3">
      <c r="S234" s="6">
        <v>217</v>
      </c>
      <c r="T234" s="4">
        <f t="shared" si="48"/>
        <v>108.5</v>
      </c>
      <c r="U234" s="3">
        <f t="shared" si="49"/>
        <v>-3531412.8842328438</v>
      </c>
      <c r="V234" s="3">
        <f t="shared" si="50"/>
        <v>207630.98155039077</v>
      </c>
      <c r="W234" s="3">
        <f t="shared" si="51"/>
        <v>-31476.515559535921</v>
      </c>
      <c r="X234" s="3">
        <f t="shared" si="52"/>
        <v>2544.796684015113</v>
      </c>
      <c r="Y234" s="3">
        <f t="shared" si="53"/>
        <v>3535669.2569481898</v>
      </c>
      <c r="Z234" s="3">
        <f t="shared" si="54"/>
        <v>-198858.26611956963</v>
      </c>
      <c r="AA234" s="3">
        <f t="shared" si="55"/>
        <v>3541257.0797010269</v>
      </c>
      <c r="AB234" s="3">
        <f t="shared" si="56"/>
        <v>3495669.2569481898</v>
      </c>
      <c r="AC234" s="3">
        <f t="shared" si="57"/>
        <v>-196358.26611956963</v>
      </c>
      <c r="AD234" s="3">
        <f t="shared" si="58"/>
        <v>3501179.8186677294</v>
      </c>
      <c r="AE234" s="3">
        <f t="shared" si="59"/>
        <v>3510669.2569481898</v>
      </c>
      <c r="AF234" s="3">
        <f t="shared" si="63"/>
        <v>-221358.26611956963</v>
      </c>
      <c r="AG234" s="3">
        <f t="shared" si="60"/>
        <v>3517640.9870338696</v>
      </c>
      <c r="AH234" s="3">
        <f t="shared" si="61"/>
        <v>9.8545544563396259E-2</v>
      </c>
      <c r="AI234" s="3">
        <f t="shared" si="62"/>
        <v>-5.8290700678337894E-3</v>
      </c>
    </row>
    <row r="235" spans="19:35" x14ac:dyDescent="0.3">
      <c r="S235" s="6">
        <v>218</v>
      </c>
      <c r="T235" s="4">
        <f t="shared" si="48"/>
        <v>109</v>
      </c>
      <c r="U235" s="3">
        <f t="shared" si="49"/>
        <v>-3547151.1173762255</v>
      </c>
      <c r="V235" s="3">
        <f t="shared" si="50"/>
        <v>208903.37843513081</v>
      </c>
      <c r="W235" s="3">
        <f t="shared" si="51"/>
        <v>-31465.774095178513</v>
      </c>
      <c r="X235" s="3">
        <f t="shared" si="52"/>
        <v>2544.1613153777189</v>
      </c>
      <c r="Y235" s="3">
        <f t="shared" si="53"/>
        <v>3551412.8842328438</v>
      </c>
      <c r="Z235" s="3">
        <f t="shared" si="54"/>
        <v>-200130.98155039077</v>
      </c>
      <c r="AA235" s="3">
        <f t="shared" si="55"/>
        <v>3557047.3547693132</v>
      </c>
      <c r="AB235" s="3">
        <f t="shared" si="56"/>
        <v>3511412.8842328438</v>
      </c>
      <c r="AC235" s="3">
        <f t="shared" si="57"/>
        <v>-197630.98155039077</v>
      </c>
      <c r="AD235" s="3">
        <f t="shared" si="58"/>
        <v>3516970.0664670132</v>
      </c>
      <c r="AE235" s="3">
        <f t="shared" si="59"/>
        <v>3526412.8842328438</v>
      </c>
      <c r="AF235" s="3">
        <f t="shared" si="63"/>
        <v>-222630.98155039077</v>
      </c>
      <c r="AG235" s="3">
        <f t="shared" si="60"/>
        <v>3533433.5120431366</v>
      </c>
      <c r="AH235" s="3">
        <f t="shared" si="61"/>
        <v>9.7667998806826625E-2</v>
      </c>
      <c r="AI235" s="3">
        <f t="shared" si="62"/>
        <v>-5.7865891004402533E-3</v>
      </c>
    </row>
    <row r="236" spans="19:35" x14ac:dyDescent="0.3">
      <c r="S236" s="6">
        <v>219</v>
      </c>
      <c r="T236" s="4">
        <f t="shared" si="48"/>
        <v>109.5</v>
      </c>
      <c r="U236" s="3">
        <f t="shared" si="49"/>
        <v>-3562883.9800068149</v>
      </c>
      <c r="V236" s="3">
        <f t="shared" si="50"/>
        <v>210175.45764617241</v>
      </c>
      <c r="W236" s="3">
        <f t="shared" si="51"/>
        <v>-31455.079449309163</v>
      </c>
      <c r="X236" s="3">
        <f t="shared" si="52"/>
        <v>2543.5276838712207</v>
      </c>
      <c r="Y236" s="3">
        <f t="shared" si="53"/>
        <v>3567151.1173762255</v>
      </c>
      <c r="Z236" s="3">
        <f t="shared" si="54"/>
        <v>-201403.37843513081</v>
      </c>
      <c r="AA236" s="3">
        <f t="shared" si="55"/>
        <v>3572832.2679694244</v>
      </c>
      <c r="AB236" s="3">
        <f t="shared" si="56"/>
        <v>3527151.1173762255</v>
      </c>
      <c r="AC236" s="3">
        <f t="shared" si="57"/>
        <v>-198903.37843513081</v>
      </c>
      <c r="AD236" s="3">
        <f t="shared" si="58"/>
        <v>3532754.9531153818</v>
      </c>
      <c r="AE236" s="3">
        <f t="shared" si="59"/>
        <v>3542151.1173762255</v>
      </c>
      <c r="AF236" s="3">
        <f t="shared" si="63"/>
        <v>-223903.37843513081</v>
      </c>
      <c r="AG236" s="3">
        <f t="shared" si="60"/>
        <v>3549220.6554685086</v>
      </c>
      <c r="AH236" s="3">
        <f t="shared" si="61"/>
        <v>9.6802414454790112E-2</v>
      </c>
      <c r="AI236" s="3">
        <f t="shared" si="62"/>
        <v>-5.7445658271030719E-3</v>
      </c>
    </row>
    <row r="237" spans="19:35" x14ac:dyDescent="0.3">
      <c r="S237" s="6">
        <v>220</v>
      </c>
      <c r="T237" s="4">
        <f t="shared" si="48"/>
        <v>110</v>
      </c>
      <c r="U237" s="3">
        <f t="shared" si="49"/>
        <v>-3578611.4955308656</v>
      </c>
      <c r="V237" s="3">
        <f t="shared" si="50"/>
        <v>211447.22005196655</v>
      </c>
      <c r="W237" s="3">
        <f t="shared" si="51"/>
        <v>-31444.431183719138</v>
      </c>
      <c r="X237" s="3">
        <f t="shared" si="52"/>
        <v>2542.8957816302395</v>
      </c>
      <c r="Y237" s="3">
        <f t="shared" si="53"/>
        <v>3582883.9800068149</v>
      </c>
      <c r="Z237" s="3">
        <f t="shared" si="54"/>
        <v>-202675.45764617241</v>
      </c>
      <c r="AA237" s="3">
        <f t="shared" si="55"/>
        <v>3588611.8423871868</v>
      </c>
      <c r="AB237" s="3">
        <f t="shared" si="56"/>
        <v>3542883.9800068149</v>
      </c>
      <c r="AC237" s="3">
        <f t="shared" si="57"/>
        <v>-200175.45764617241</v>
      </c>
      <c r="AD237" s="3">
        <f t="shared" si="58"/>
        <v>3548534.501682742</v>
      </c>
      <c r="AE237" s="3">
        <f t="shared" si="59"/>
        <v>3557883.9800068149</v>
      </c>
      <c r="AF237" s="3">
        <f t="shared" si="63"/>
        <v>-225175.45764617241</v>
      </c>
      <c r="AG237" s="3">
        <f t="shared" si="60"/>
        <v>3565002.4406604967</v>
      </c>
      <c r="AH237" s="3">
        <f t="shared" si="61"/>
        <v>9.5948572715275154E-2</v>
      </c>
      <c r="AI237" s="3">
        <f t="shared" si="62"/>
        <v>-5.7029940079796684E-3</v>
      </c>
    </row>
    <row r="238" spans="19:35" x14ac:dyDescent="0.3">
      <c r="S238" s="6">
        <v>221</v>
      </c>
      <c r="T238" s="4">
        <f t="shared" si="48"/>
        <v>110.5</v>
      </c>
      <c r="U238" s="3">
        <f t="shared" si="49"/>
        <v>-3594333.6871355819</v>
      </c>
      <c r="V238" s="3">
        <f t="shared" si="50"/>
        <v>212718.66651703315</v>
      </c>
      <c r="W238" s="3">
        <f t="shared" si="51"/>
        <v>-31433.828866434102</v>
      </c>
      <c r="X238" s="3">
        <f t="shared" si="52"/>
        <v>2542.2656007923579</v>
      </c>
      <c r="Y238" s="3">
        <f t="shared" si="53"/>
        <v>3598611.4955308656</v>
      </c>
      <c r="Z238" s="3">
        <f t="shared" si="54"/>
        <v>-203947.22005196655</v>
      </c>
      <c r="AA238" s="3">
        <f t="shared" si="55"/>
        <v>3604386.1008962146</v>
      </c>
      <c r="AB238" s="3">
        <f t="shared" si="56"/>
        <v>3558611.4955308656</v>
      </c>
      <c r="AC238" s="3">
        <f t="shared" si="57"/>
        <v>-201447.22005196655</v>
      </c>
      <c r="AD238" s="3">
        <f t="shared" si="58"/>
        <v>3564308.7350271847</v>
      </c>
      <c r="AE238" s="3">
        <f t="shared" si="59"/>
        <v>3573611.4955308656</v>
      </c>
      <c r="AF238" s="3">
        <f t="shared" si="63"/>
        <v>-226447.22005196655</v>
      </c>
      <c r="AG238" s="3">
        <f t="shared" si="60"/>
        <v>3580778.890752627</v>
      </c>
      <c r="AH238" s="3">
        <f t="shared" si="61"/>
        <v>9.5106259806942012E-2</v>
      </c>
      <c r="AI238" s="3">
        <f t="shared" si="62"/>
        <v>-5.6618674988244792E-3</v>
      </c>
    </row>
    <row r="239" spans="19:35" x14ac:dyDescent="0.3">
      <c r="S239" s="6">
        <v>222</v>
      </c>
      <c r="T239" s="4">
        <f t="shared" si="48"/>
        <v>111</v>
      </c>
      <c r="U239" s="3">
        <f t="shared" si="49"/>
        <v>-3610050.5777922343</v>
      </c>
      <c r="V239" s="3">
        <f t="shared" si="50"/>
        <v>213989.79790196248</v>
      </c>
      <c r="W239" s="3">
        <f t="shared" si="51"/>
        <v>-31423.272071595533</v>
      </c>
      <c r="X239" s="3">
        <f t="shared" si="52"/>
        <v>2541.6371334999885</v>
      </c>
      <c r="Y239" s="3">
        <f t="shared" si="53"/>
        <v>3614333.6871355819</v>
      </c>
      <c r="Z239" s="3">
        <f t="shared" si="54"/>
        <v>-205218.66651703315</v>
      </c>
      <c r="AA239" s="3">
        <f t="shared" si="55"/>
        <v>3620155.0661608572</v>
      </c>
      <c r="AB239" s="3">
        <f t="shared" si="56"/>
        <v>3574333.6871355819</v>
      </c>
      <c r="AC239" s="3">
        <f t="shared" si="57"/>
        <v>-202718.66651703315</v>
      </c>
      <c r="AD239" s="3">
        <f t="shared" si="58"/>
        <v>3580077.6757979272</v>
      </c>
      <c r="AE239" s="3">
        <f t="shared" si="59"/>
        <v>3589333.6871355819</v>
      </c>
      <c r="AF239" s="3">
        <f t="shared" si="63"/>
        <v>-227718.66651703315</v>
      </c>
      <c r="AG239" s="3">
        <f t="shared" si="60"/>
        <v>3596550.0286644986</v>
      </c>
      <c r="AH239" s="3">
        <f t="shared" si="61"/>
        <v>9.4275266821502612E-2</v>
      </c>
      <c r="AI239" s="3">
        <f t="shared" si="62"/>
        <v>-5.6211802496285504E-3</v>
      </c>
    </row>
    <row r="240" spans="19:35" x14ac:dyDescent="0.3">
      <c r="S240" s="6">
        <v>223</v>
      </c>
      <c r="T240" s="4">
        <f t="shared" si="48"/>
        <v>111.5</v>
      </c>
      <c r="U240" s="3">
        <f t="shared" si="49"/>
        <v>-3625762.1902592154</v>
      </c>
      <c r="V240" s="3">
        <f t="shared" si="50"/>
        <v>215260.61506341741</v>
      </c>
      <c r="W240" s="3">
        <f t="shared" si="51"/>
        <v>-31412.760379344934</v>
      </c>
      <c r="X240" s="3">
        <f t="shared" si="52"/>
        <v>2541.0103719021549</v>
      </c>
      <c r="Y240" s="3">
        <f t="shared" si="53"/>
        <v>3630050.5777922343</v>
      </c>
      <c r="Z240" s="3">
        <f t="shared" si="54"/>
        <v>-206489.79790196248</v>
      </c>
      <c r="AA240" s="3">
        <f t="shared" si="55"/>
        <v>3635918.7606390943</v>
      </c>
      <c r="AB240" s="3">
        <f t="shared" si="56"/>
        <v>3590050.5777922343</v>
      </c>
      <c r="AC240" s="3">
        <f t="shared" si="57"/>
        <v>-203989.79790196248</v>
      </c>
      <c r="AD240" s="3">
        <f t="shared" si="58"/>
        <v>3595841.3464381932</v>
      </c>
      <c r="AE240" s="3">
        <f t="shared" si="59"/>
        <v>3605050.5777922343</v>
      </c>
      <c r="AF240" s="3">
        <f t="shared" si="63"/>
        <v>-228989.79790196248</v>
      </c>
      <c r="AG240" s="3">
        <f t="shared" si="60"/>
        <v>3612315.8771047839</v>
      </c>
      <c r="AH240" s="3">
        <f t="shared" si="61"/>
        <v>9.3455389590507643E-2</v>
      </c>
      <c r="AI240" s="3">
        <f t="shared" si="62"/>
        <v>-5.5809263032634317E-3</v>
      </c>
    </row>
    <row r="241" spans="19:35" x14ac:dyDescent="0.3">
      <c r="S241" s="6">
        <v>224</v>
      </c>
      <c r="T241" s="4">
        <f t="shared" si="48"/>
        <v>112</v>
      </c>
      <c r="U241" s="3">
        <f t="shared" si="49"/>
        <v>-3641468.5470850407</v>
      </c>
      <c r="V241" s="3">
        <f t="shared" si="50"/>
        <v>216531.1188541369</v>
      </c>
      <c r="W241" s="3">
        <f t="shared" si="51"/>
        <v>-31402.293375710797</v>
      </c>
      <c r="X241" s="3">
        <f t="shared" si="52"/>
        <v>2540.3853081561892</v>
      </c>
      <c r="Y241" s="3">
        <f t="shared" si="53"/>
        <v>3645762.1902592154</v>
      </c>
      <c r="Z241" s="3">
        <f t="shared" si="54"/>
        <v>-207760.61506341741</v>
      </c>
      <c r="AA241" s="3">
        <f t="shared" si="55"/>
        <v>3651677.2065853798</v>
      </c>
      <c r="AB241" s="3">
        <f t="shared" si="56"/>
        <v>3605762.1902592154</v>
      </c>
      <c r="AC241" s="3">
        <f t="shared" si="57"/>
        <v>-205260.61506341741</v>
      </c>
      <c r="AD241" s="3">
        <f t="shared" si="58"/>
        <v>3611599.769188046</v>
      </c>
      <c r="AE241" s="3">
        <f t="shared" si="59"/>
        <v>3620762.1902592154</v>
      </c>
      <c r="AF241" s="3">
        <f t="shared" si="63"/>
        <v>-230260.61506341741</v>
      </c>
      <c r="AG241" s="3">
        <f t="shared" si="60"/>
        <v>3628076.4585741702</v>
      </c>
      <c r="AH241" s="3">
        <f t="shared" si="61"/>
        <v>9.2646428556368871E-2</v>
      </c>
      <c r="AI241" s="3">
        <f t="shared" si="62"/>
        <v>-5.541099794129924E-3</v>
      </c>
    </row>
    <row r="242" spans="19:35" x14ac:dyDescent="0.3">
      <c r="S242" s="6">
        <v>225</v>
      </c>
      <c r="T242" s="4">
        <f t="shared" si="48"/>
        <v>112.5</v>
      </c>
      <c r="U242" s="3">
        <f t="shared" si="49"/>
        <v>-3657169.6706112889</v>
      </c>
      <c r="V242" s="3">
        <f t="shared" si="50"/>
        <v>217801.31012294005</v>
      </c>
      <c r="W242" s="3">
        <f t="shared" si="51"/>
        <v>-31391.870652498204</v>
      </c>
      <c r="X242" s="3">
        <f t="shared" si="52"/>
        <v>2539.7619344293498</v>
      </c>
      <c r="Y242" s="3">
        <f t="shared" si="53"/>
        <v>3661468.5470850407</v>
      </c>
      <c r="Z242" s="3">
        <f t="shared" si="54"/>
        <v>-209031.1188541369</v>
      </c>
      <c r="AA242" s="3">
        <f t="shared" si="55"/>
        <v>3667430.4260534309</v>
      </c>
      <c r="AB242" s="3">
        <f t="shared" si="56"/>
        <v>3621468.5470850407</v>
      </c>
      <c r="AC242" s="3">
        <f t="shared" si="57"/>
        <v>-206531.1188541369</v>
      </c>
      <c r="AD242" s="3">
        <f t="shared" si="58"/>
        <v>3627352.9660871685</v>
      </c>
      <c r="AE242" s="3">
        <f t="shared" si="59"/>
        <v>3636468.5470850407</v>
      </c>
      <c r="AF242" s="3">
        <f t="shared" si="63"/>
        <v>-231531.1188541369</v>
      </c>
      <c r="AG242" s="3">
        <f t="shared" si="60"/>
        <v>3643831.7953682542</v>
      </c>
      <c r="AH242" s="3">
        <f t="shared" si="61"/>
        <v>9.1848188647473281E-2</v>
      </c>
      <c r="AI242" s="3">
        <f t="shared" si="62"/>
        <v>-5.5016949468135118E-3</v>
      </c>
    </row>
    <row r="243" spans="19:35" x14ac:dyDescent="0.3">
      <c r="S243" s="6">
        <v>226</v>
      </c>
      <c r="T243" s="4">
        <f t="shared" si="48"/>
        <v>113</v>
      </c>
      <c r="U243" s="3">
        <f t="shared" si="49"/>
        <v>-3672865.5829754905</v>
      </c>
      <c r="V243" s="3">
        <f t="shared" si="50"/>
        <v>219071.18971473098</v>
      </c>
      <c r="W243" s="3">
        <f t="shared" si="51"/>
        <v>-31381.491807181039</v>
      </c>
      <c r="X243" s="3">
        <f t="shared" si="52"/>
        <v>2539.1402429003597</v>
      </c>
      <c r="Y243" s="3">
        <f t="shared" si="53"/>
        <v>3677169.6706112889</v>
      </c>
      <c r="Z243" s="3">
        <f t="shared" si="54"/>
        <v>-210301.31012294005</v>
      </c>
      <c r="AA243" s="3">
        <f t="shared" si="55"/>
        <v>3683178.4408989693</v>
      </c>
      <c r="AB243" s="3">
        <f t="shared" si="56"/>
        <v>3637169.6706112889</v>
      </c>
      <c r="AC243" s="3">
        <f t="shared" si="57"/>
        <v>-207801.31012294005</v>
      </c>
      <c r="AD243" s="3">
        <f t="shared" si="58"/>
        <v>3643100.9589775908</v>
      </c>
      <c r="AE243" s="3">
        <f t="shared" si="59"/>
        <v>3652169.6706112889</v>
      </c>
      <c r="AF243" s="3">
        <f t="shared" si="63"/>
        <v>-232801.31012294005</v>
      </c>
      <c r="AG243" s="3">
        <f t="shared" si="60"/>
        <v>3659581.9095803727</v>
      </c>
      <c r="AH243" s="3">
        <f t="shared" si="61"/>
        <v>9.1060479157234309E-2</v>
      </c>
      <c r="AI243" s="3">
        <f t="shared" si="62"/>
        <v>-5.4627060747470821E-3</v>
      </c>
    </row>
    <row r="244" spans="19:35" x14ac:dyDescent="0.3">
      <c r="S244" s="6">
        <v>227</v>
      </c>
      <c r="T244" s="4">
        <f t="shared" si="48"/>
        <v>113.5</v>
      </c>
      <c r="U244" s="3">
        <f t="shared" si="49"/>
        <v>-3688556.3061139616</v>
      </c>
      <c r="V244" s="3">
        <f t="shared" si="50"/>
        <v>220340.75847050463</v>
      </c>
      <c r="W244" s="3">
        <f t="shared" si="51"/>
        <v>-31371.156442796691</v>
      </c>
      <c r="X244" s="3">
        <f t="shared" si="52"/>
        <v>2538.5202257608757</v>
      </c>
      <c r="Y244" s="3">
        <f t="shared" si="53"/>
        <v>3692865.5829754905</v>
      </c>
      <c r="Z244" s="3">
        <f t="shared" si="54"/>
        <v>-211571.18971473098</v>
      </c>
      <c r="AA244" s="3">
        <f t="shared" si="55"/>
        <v>3698921.2727824063</v>
      </c>
      <c r="AB244" s="3">
        <f t="shared" si="56"/>
        <v>3652865.5829754905</v>
      </c>
      <c r="AC244" s="3">
        <f t="shared" si="57"/>
        <v>-209071.18971473098</v>
      </c>
      <c r="AD244" s="3">
        <f t="shared" si="58"/>
        <v>3658843.7695063725</v>
      </c>
      <c r="AE244" s="3">
        <f t="shared" si="59"/>
        <v>3667865.5829754905</v>
      </c>
      <c r="AF244" s="3">
        <f t="shared" si="63"/>
        <v>-234071.18971473098</v>
      </c>
      <c r="AG244" s="3">
        <f t="shared" si="60"/>
        <v>3675326.8231043895</v>
      </c>
      <c r="AH244" s="3">
        <f t="shared" si="61"/>
        <v>9.0283113626941747E-2</v>
      </c>
      <c r="AI244" s="3">
        <f t="shared" si="62"/>
        <v>-5.4241275788821097E-3</v>
      </c>
    </row>
    <row r="245" spans="19:35" x14ac:dyDescent="0.3">
      <c r="S245" s="6">
        <v>228</v>
      </c>
      <c r="T245" s="4">
        <f t="shared" si="48"/>
        <v>114</v>
      </c>
      <c r="U245" s="3">
        <f t="shared" si="49"/>
        <v>-3704241.8617645814</v>
      </c>
      <c r="V245" s="3">
        <f t="shared" si="50"/>
        <v>221610.01722735318</v>
      </c>
      <c r="W245" s="3">
        <f t="shared" si="51"/>
        <v>-31360.864167843221</v>
      </c>
      <c r="X245" s="3">
        <f t="shared" si="52"/>
        <v>2537.9018752168831</v>
      </c>
      <c r="Y245" s="3">
        <f t="shared" si="53"/>
        <v>3708556.3061139616</v>
      </c>
      <c r="Z245" s="3">
        <f t="shared" si="54"/>
        <v>-212840.75847050463</v>
      </c>
      <c r="AA245" s="3">
        <f t="shared" si="55"/>
        <v>3714658.94317149</v>
      </c>
      <c r="AB245" s="3">
        <f t="shared" si="56"/>
        <v>3668556.3061139616</v>
      </c>
      <c r="AC245" s="3">
        <f t="shared" si="57"/>
        <v>-210340.75847050463</v>
      </c>
      <c r="AD245" s="3">
        <f t="shared" si="58"/>
        <v>3674581.4191282336</v>
      </c>
      <c r="AE245" s="3">
        <f t="shared" si="59"/>
        <v>3683556.3061139616</v>
      </c>
      <c r="AF245" s="3">
        <f t="shared" si="63"/>
        <v>-235340.75847050463</v>
      </c>
      <c r="AG245" s="3">
        <f t="shared" si="60"/>
        <v>3691066.557637427</v>
      </c>
      <c r="AH245" s="3">
        <f t="shared" si="61"/>
        <v>8.9515909732271554E-2</v>
      </c>
      <c r="AI245" s="3">
        <f t="shared" si="62"/>
        <v>-5.3859539463689855E-3</v>
      </c>
    </row>
    <row r="246" spans="19:35" x14ac:dyDescent="0.3">
      <c r="S246" s="6">
        <v>229</v>
      </c>
      <c r="T246" s="4">
        <f t="shared" si="48"/>
        <v>114.5</v>
      </c>
      <c r="U246" s="3">
        <f t="shared" si="49"/>
        <v>-3719922.2714695255</v>
      </c>
      <c r="V246" s="3">
        <f t="shared" si="50"/>
        <v>222878.96681847313</v>
      </c>
      <c r="W246" s="3">
        <f t="shared" si="51"/>
        <v>-31350.614596178875</v>
      </c>
      <c r="X246" s="3">
        <f t="shared" si="52"/>
        <v>2537.2851834900239</v>
      </c>
      <c r="Y246" s="3">
        <f t="shared" si="53"/>
        <v>3724241.8617645814</v>
      </c>
      <c r="Z246" s="3">
        <f t="shared" si="54"/>
        <v>-214110.01722735318</v>
      </c>
      <c r="AA246" s="3">
        <f t="shared" si="55"/>
        <v>3730391.473343892</v>
      </c>
      <c r="AB246" s="3">
        <f t="shared" si="56"/>
        <v>3684241.8617645814</v>
      </c>
      <c r="AC246" s="3">
        <f t="shared" si="57"/>
        <v>-211610.01722735318</v>
      </c>
      <c r="AD246" s="3">
        <f t="shared" si="58"/>
        <v>3690313.9291081335</v>
      </c>
      <c r="AE246" s="3">
        <f t="shared" si="59"/>
        <v>3699241.8617645814</v>
      </c>
      <c r="AF246" s="3">
        <f t="shared" si="63"/>
        <v>-236610.01722735318</v>
      </c>
      <c r="AG246" s="3">
        <f t="shared" si="60"/>
        <v>3706801.1346825464</v>
      </c>
      <c r="AH246" s="3">
        <f t="shared" si="61"/>
        <v>8.8758689173331046E-2</v>
      </c>
      <c r="AI246" s="3">
        <f t="shared" si="62"/>
        <v>-5.3481797492477045E-3</v>
      </c>
    </row>
    <row r="247" spans="19:35" x14ac:dyDescent="0.3">
      <c r="S247" s="6">
        <v>230</v>
      </c>
      <c r="T247" s="4">
        <f t="shared" si="48"/>
        <v>115</v>
      </c>
      <c r="U247" s="3">
        <f t="shared" si="49"/>
        <v>-3735597.5565779428</v>
      </c>
      <c r="V247" s="3">
        <f t="shared" si="50"/>
        <v>224147.60807317321</v>
      </c>
      <c r="W247" s="3">
        <f t="shared" si="51"/>
        <v>-31340.407346923941</v>
      </c>
      <c r="X247" s="3">
        <f t="shared" si="52"/>
        <v>2536.6701428188603</v>
      </c>
      <c r="Y247" s="3">
        <f t="shared" si="53"/>
        <v>3739922.2714695255</v>
      </c>
      <c r="Z247" s="3">
        <f t="shared" si="54"/>
        <v>-215378.96681847313</v>
      </c>
      <c r="AA247" s="3">
        <f t="shared" si="55"/>
        <v>3746118.8843897586</v>
      </c>
      <c r="AB247" s="3">
        <f t="shared" si="56"/>
        <v>3699922.2714695255</v>
      </c>
      <c r="AC247" s="3">
        <f t="shared" si="57"/>
        <v>-212878.96681847313</v>
      </c>
      <c r="AD247" s="3">
        <f t="shared" si="58"/>
        <v>3706041.3205238166</v>
      </c>
      <c r="AE247" s="3">
        <f t="shared" si="59"/>
        <v>3714922.2714695255</v>
      </c>
      <c r="AF247" s="3">
        <f t="shared" si="63"/>
        <v>-237878.96681847313</v>
      </c>
      <c r="AG247" s="3">
        <f t="shared" si="60"/>
        <v>3722530.5755513846</v>
      </c>
      <c r="AH247" s="3">
        <f t="shared" si="61"/>
        <v>8.8011277568105936E-2</v>
      </c>
      <c r="AI247" s="3">
        <f t="shared" si="62"/>
        <v>-5.3107996431490511E-3</v>
      </c>
    </row>
    <row r="248" spans="19:35" x14ac:dyDescent="0.3">
      <c r="S248" s="6">
        <v>231</v>
      </c>
      <c r="T248" s="4">
        <f t="shared" si="48"/>
        <v>115.5</v>
      </c>
      <c r="U248" s="3">
        <f t="shared" si="49"/>
        <v>-3751267.7382485853</v>
      </c>
      <c r="V248" s="3">
        <f t="shared" si="50"/>
        <v>225415.94181688273</v>
      </c>
      <c r="W248" s="3">
        <f t="shared" si="51"/>
        <v>-31330.242044364826</v>
      </c>
      <c r="X248" s="3">
        <f t="shared" si="52"/>
        <v>2536.0567454600764</v>
      </c>
      <c r="Y248" s="3">
        <f t="shared" si="53"/>
        <v>3755597.5565779428</v>
      </c>
      <c r="Z248" s="3">
        <f t="shared" si="54"/>
        <v>-216647.60807317321</v>
      </c>
      <c r="AA248" s="3">
        <f t="shared" si="55"/>
        <v>3761841.1972142104</v>
      </c>
      <c r="AB248" s="3">
        <f t="shared" si="56"/>
        <v>3715597.5565779428</v>
      </c>
      <c r="AC248" s="3">
        <f t="shared" si="57"/>
        <v>-214147.60807317321</v>
      </c>
      <c r="AD248" s="3">
        <f t="shared" si="58"/>
        <v>3721763.6142683001</v>
      </c>
      <c r="AE248" s="3">
        <f t="shared" si="59"/>
        <v>3730597.5565779428</v>
      </c>
      <c r="AF248" s="3">
        <f t="shared" si="63"/>
        <v>-239147.60807317321</v>
      </c>
      <c r="AG248" s="3">
        <f t="shared" si="60"/>
        <v>3738254.9013667372</v>
      </c>
      <c r="AH248" s="3">
        <f t="shared" si="61"/>
        <v>8.7273504349195424E-2</v>
      </c>
      <c r="AI248" s="3">
        <f t="shared" si="62"/>
        <v>-5.2738083660074028E-3</v>
      </c>
    </row>
    <row r="249" spans="19:35" x14ac:dyDescent="0.3">
      <c r="S249" s="6">
        <v>232</v>
      </c>
      <c r="T249" s="4">
        <f t="shared" si="48"/>
        <v>116</v>
      </c>
      <c r="U249" s="3">
        <f t="shared" si="49"/>
        <v>-3766932.8374523916</v>
      </c>
      <c r="V249" s="3">
        <f t="shared" si="50"/>
        <v>226683.96887116067</v>
      </c>
      <c r="W249" s="3">
        <f t="shared" si="51"/>
        <v>-31320.118317860321</v>
      </c>
      <c r="X249" s="3">
        <f t="shared" si="52"/>
        <v>2535.4449836896197</v>
      </c>
      <c r="Y249" s="3">
        <f t="shared" si="53"/>
        <v>3771267.7382485853</v>
      </c>
      <c r="Z249" s="3">
        <f t="shared" si="54"/>
        <v>-217915.94181688273</v>
      </c>
      <c r="AA249" s="3">
        <f t="shared" si="55"/>
        <v>3777558.4325397983</v>
      </c>
      <c r="AB249" s="3">
        <f t="shared" si="56"/>
        <v>3731267.7382485853</v>
      </c>
      <c r="AC249" s="3">
        <f t="shared" si="57"/>
        <v>-215415.94181688273</v>
      </c>
      <c r="AD249" s="3">
        <f t="shared" si="58"/>
        <v>3737480.8310523238</v>
      </c>
      <c r="AE249" s="3">
        <f t="shared" si="59"/>
        <v>3746267.7382485853</v>
      </c>
      <c r="AF249" s="3">
        <f t="shared" si="63"/>
        <v>-240415.94181688273</v>
      </c>
      <c r="AG249" s="3">
        <f t="shared" si="60"/>
        <v>3753974.1330650998</v>
      </c>
      <c r="AH249" s="3">
        <f t="shared" si="61"/>
        <v>8.6545202663717347E-2</v>
      </c>
      <c r="AI249" s="3">
        <f t="shared" si="62"/>
        <v>-5.2372007367855388E-3</v>
      </c>
    </row>
    <row r="250" spans="19:35" x14ac:dyDescent="0.3">
      <c r="S250" s="6">
        <v>233</v>
      </c>
      <c r="T250" s="4">
        <f t="shared" si="48"/>
        <v>116.5</v>
      </c>
      <c r="U250" s="3">
        <f t="shared" si="49"/>
        <v>-3782592.874975021</v>
      </c>
      <c r="V250" s="3">
        <f t="shared" si="50"/>
        <v>227951.6900537053</v>
      </c>
      <c r="W250" s="3">
        <f t="shared" si="51"/>
        <v>-31310.035801749997</v>
      </c>
      <c r="X250" s="3">
        <f t="shared" si="52"/>
        <v>2534.834849803784</v>
      </c>
      <c r="Y250" s="3">
        <f t="shared" si="53"/>
        <v>3786932.8374523916</v>
      </c>
      <c r="Z250" s="3">
        <f t="shared" si="54"/>
        <v>-219183.96887116067</v>
      </c>
      <c r="AA250" s="3">
        <f t="shared" si="55"/>
        <v>3793270.6109089204</v>
      </c>
      <c r="AB250" s="3">
        <f t="shared" si="56"/>
        <v>3746932.8374523916</v>
      </c>
      <c r="AC250" s="3">
        <f t="shared" si="57"/>
        <v>-216683.96887116067</v>
      </c>
      <c r="AD250" s="3">
        <f t="shared" si="58"/>
        <v>3753192.9914067555</v>
      </c>
      <c r="AE250" s="3">
        <f t="shared" si="59"/>
        <v>3761932.8374523916</v>
      </c>
      <c r="AF250" s="3">
        <f t="shared" si="63"/>
        <v>-241683.96887116067</v>
      </c>
      <c r="AG250" s="3">
        <f t="shared" si="60"/>
        <v>3769688.2913991599</v>
      </c>
      <c r="AH250" s="3">
        <f t="shared" si="61"/>
        <v>8.5826209276271936E-2</v>
      </c>
      <c r="AI250" s="3">
        <f t="shared" si="62"/>
        <v>-5.2009716542119524E-3</v>
      </c>
    </row>
    <row r="251" spans="19:35" x14ac:dyDescent="0.3">
      <c r="S251" s="6">
        <v>234</v>
      </c>
      <c r="T251" s="4">
        <f t="shared" si="48"/>
        <v>117</v>
      </c>
      <c r="U251" s="3">
        <f t="shared" si="49"/>
        <v>-3798247.8714193436</v>
      </c>
      <c r="V251" s="3">
        <f t="shared" si="50"/>
        <v>229219.10617836428</v>
      </c>
      <c r="W251" s="3">
        <f t="shared" si="51"/>
        <v>-31299.994135264671</v>
      </c>
      <c r="X251" s="3">
        <f t="shared" si="52"/>
        <v>2534.2263361202413</v>
      </c>
      <c r="Y251" s="3">
        <f t="shared" si="53"/>
        <v>3802592.874975021</v>
      </c>
      <c r="Z251" s="3">
        <f t="shared" si="54"/>
        <v>-220451.6900537053</v>
      </c>
      <c r="AA251" s="3">
        <f t="shared" si="55"/>
        <v>3808977.752686189</v>
      </c>
      <c r="AB251" s="3">
        <f t="shared" si="56"/>
        <v>3762592.874975021</v>
      </c>
      <c r="AC251" s="3">
        <f t="shared" si="57"/>
        <v>-217951.6900537053</v>
      </c>
      <c r="AD251" s="3">
        <f t="shared" si="58"/>
        <v>3768900.115684954</v>
      </c>
      <c r="AE251" s="3">
        <f t="shared" si="59"/>
        <v>3777592.874975021</v>
      </c>
      <c r="AF251" s="3">
        <f t="shared" si="63"/>
        <v>-242951.6900537053</v>
      </c>
      <c r="AG251" s="3">
        <f t="shared" si="60"/>
        <v>3785397.3969402467</v>
      </c>
      <c r="AH251" s="3">
        <f t="shared" si="61"/>
        <v>8.5116364474858833E-2</v>
      </c>
      <c r="AI251" s="3">
        <f t="shared" si="62"/>
        <v>-5.1651160955312175E-3</v>
      </c>
    </row>
    <row r="252" spans="19:35" x14ac:dyDescent="0.3">
      <c r="S252" s="6">
        <v>235</v>
      </c>
      <c r="T252" s="4">
        <f t="shared" si="48"/>
        <v>117.5</v>
      </c>
      <c r="U252" s="3">
        <f t="shared" si="49"/>
        <v>-3813897.8472078848</v>
      </c>
      <c r="V252" s="3">
        <f t="shared" si="50"/>
        <v>230486.21805514538</v>
      </c>
      <c r="W252" s="3">
        <f t="shared" si="51"/>
        <v>-31289.992962438875</v>
      </c>
      <c r="X252" s="3">
        <f t="shared" si="52"/>
        <v>2533.6194349790162</v>
      </c>
      <c r="Y252" s="3">
        <f t="shared" si="53"/>
        <v>3818247.8714193436</v>
      </c>
      <c r="Z252" s="3">
        <f t="shared" si="54"/>
        <v>-221719.10617836428</v>
      </c>
      <c r="AA252" s="3">
        <f t="shared" si="55"/>
        <v>3824679.8780607614</v>
      </c>
      <c r="AB252" s="3">
        <f t="shared" si="56"/>
        <v>3778247.8714193436</v>
      </c>
      <c r="AC252" s="3">
        <f t="shared" si="57"/>
        <v>-219219.10617836428</v>
      </c>
      <c r="AD252" s="3">
        <f t="shared" si="58"/>
        <v>3784602.2240650919</v>
      </c>
      <c r="AE252" s="3">
        <f t="shared" si="59"/>
        <v>3793247.8714193436</v>
      </c>
      <c r="AF252" s="3">
        <f t="shared" si="63"/>
        <v>-244219.10617836428</v>
      </c>
      <c r="AG252" s="3">
        <f t="shared" si="60"/>
        <v>3801101.470080737</v>
      </c>
      <c r="AH252" s="3">
        <f t="shared" si="61"/>
        <v>8.4415511979644337E-2</v>
      </c>
      <c r="AI252" s="3">
        <f t="shared" si="62"/>
        <v>-5.1296291152677972E-3</v>
      </c>
    </row>
    <row r="253" spans="19:35" x14ac:dyDescent="0.3">
      <c r="S253" s="6">
        <v>236</v>
      </c>
      <c r="T253" s="4">
        <f t="shared" si="48"/>
        <v>118</v>
      </c>
      <c r="U253" s="3">
        <f t="shared" si="49"/>
        <v>-3829542.822585226</v>
      </c>
      <c r="V253" s="3">
        <f t="shared" si="50"/>
        <v>231753.02649022758</v>
      </c>
      <c r="W253" s="3">
        <f t="shared" si="51"/>
        <v>-31280.031932025278</v>
      </c>
      <c r="X253" s="3">
        <f t="shared" si="52"/>
        <v>2533.0141387434146</v>
      </c>
      <c r="Y253" s="3">
        <f t="shared" si="53"/>
        <v>3833897.8472078848</v>
      </c>
      <c r="Z253" s="3">
        <f t="shared" si="54"/>
        <v>-222986.21805514538</v>
      </c>
      <c r="AA253" s="3">
        <f t="shared" si="55"/>
        <v>3840377.0070486297</v>
      </c>
      <c r="AB253" s="3">
        <f t="shared" si="56"/>
        <v>3793897.8472078848</v>
      </c>
      <c r="AC253" s="3">
        <f t="shared" si="57"/>
        <v>-220486.21805514538</v>
      </c>
      <c r="AD253" s="3">
        <f t="shared" si="58"/>
        <v>3800299.336552436</v>
      </c>
      <c r="AE253" s="3">
        <f t="shared" si="59"/>
        <v>3808897.8472078848</v>
      </c>
      <c r="AF253" s="3">
        <f t="shared" si="63"/>
        <v>-245486.21805514538</v>
      </c>
      <c r="AG253" s="3">
        <f t="shared" si="60"/>
        <v>3816800.5310364175</v>
      </c>
      <c r="AH253" s="3">
        <f t="shared" si="61"/>
        <v>8.3723498854480022E-2</v>
      </c>
      <c r="AI253" s="3">
        <f t="shared" si="62"/>
        <v>-5.0945058440035954E-3</v>
      </c>
    </row>
    <row r="254" spans="19:35" x14ac:dyDescent="0.3">
      <c r="S254" s="6">
        <v>237</v>
      </c>
      <c r="T254" s="4">
        <f t="shared" si="48"/>
        <v>118.5</v>
      </c>
      <c r="U254" s="3">
        <f t="shared" si="49"/>
        <v>-3845182.817620364</v>
      </c>
      <c r="V254" s="3">
        <f t="shared" si="50"/>
        <v>233019.53228597282</v>
      </c>
      <c r="W254" s="3">
        <f t="shared" si="51"/>
        <v>-31270.110697411023</v>
      </c>
      <c r="X254" s="3">
        <f t="shared" si="52"/>
        <v>2532.4104398009003</v>
      </c>
      <c r="Y254" s="3">
        <f t="shared" si="53"/>
        <v>3849542.822585226</v>
      </c>
      <c r="Z254" s="3">
        <f t="shared" si="54"/>
        <v>-224253.02649022758</v>
      </c>
      <c r="AA254" s="3">
        <f t="shared" si="55"/>
        <v>3856069.159494868</v>
      </c>
      <c r="AB254" s="3">
        <f t="shared" si="56"/>
        <v>3809542.822585226</v>
      </c>
      <c r="AC254" s="3">
        <f t="shared" si="57"/>
        <v>-221753.02649022758</v>
      </c>
      <c r="AD254" s="3">
        <f t="shared" si="58"/>
        <v>3815991.4729815875</v>
      </c>
      <c r="AE254" s="3">
        <f t="shared" si="59"/>
        <v>3824542.822585226</v>
      </c>
      <c r="AF254" s="3">
        <f t="shared" si="63"/>
        <v>-246753.02649022758</v>
      </c>
      <c r="AG254" s="3">
        <f t="shared" si="60"/>
        <v>3832494.5998488055</v>
      </c>
      <c r="AH254" s="3">
        <f t="shared" si="61"/>
        <v>8.3040175421079387E-2</v>
      </c>
      <c r="AI254" s="3">
        <f t="shared" si="62"/>
        <v>-5.0597414871696974E-3</v>
      </c>
    </row>
    <row r="255" spans="19:35" x14ac:dyDescent="0.3">
      <c r="S255" s="6">
        <v>238</v>
      </c>
      <c r="T255" s="4">
        <f t="shared" si="48"/>
        <v>119</v>
      </c>
      <c r="U255" s="3">
        <f t="shared" si="49"/>
        <v>-3860817.8522090255</v>
      </c>
      <c r="V255" s="3">
        <f t="shared" si="50"/>
        <v>234285.7362409379</v>
      </c>
      <c r="W255" s="3">
        <f t="shared" si="51"/>
        <v>-31260.228916535914</v>
      </c>
      <c r="X255" s="3">
        <f t="shared" si="52"/>
        <v>2531.808330563927</v>
      </c>
      <c r="Y255" s="3">
        <f t="shared" si="53"/>
        <v>3865182.817620364</v>
      </c>
      <c r="Z255" s="3">
        <f t="shared" si="54"/>
        <v>-225519.53228597282</v>
      </c>
      <c r="AA255" s="3">
        <f t="shared" si="55"/>
        <v>3871756.3550758432</v>
      </c>
      <c r="AB255" s="3">
        <f t="shared" si="56"/>
        <v>3825182.817620364</v>
      </c>
      <c r="AC255" s="3">
        <f t="shared" si="57"/>
        <v>-223019.53228597282</v>
      </c>
      <c r="AD255" s="3">
        <f t="shared" si="58"/>
        <v>3831678.6530186897</v>
      </c>
      <c r="AE255" s="3">
        <f t="shared" si="59"/>
        <v>3840182.817620364</v>
      </c>
      <c r="AF255" s="3">
        <f t="shared" si="63"/>
        <v>-248019.53228597282</v>
      </c>
      <c r="AG255" s="3">
        <f t="shared" si="60"/>
        <v>3848183.6963874311</v>
      </c>
      <c r="AH255" s="3">
        <f t="shared" si="61"/>
        <v>8.2365395175758721E-2</v>
      </c>
      <c r="AI255" s="3">
        <f t="shared" si="62"/>
        <v>-5.0253313238523434E-3</v>
      </c>
    </row>
    <row r="256" spans="19:35" x14ac:dyDescent="0.3">
      <c r="S256" s="6">
        <v>239</v>
      </c>
      <c r="T256" s="4">
        <f t="shared" si="48"/>
        <v>119.5</v>
      </c>
      <c r="U256" s="3">
        <f t="shared" si="49"/>
        <v>-3876447.9460759447</v>
      </c>
      <c r="V256" s="3">
        <f t="shared" si="50"/>
        <v>235551.63914988705</v>
      </c>
      <c r="W256" s="3">
        <f t="shared" si="51"/>
        <v>-31250.386251812412</v>
      </c>
      <c r="X256" s="3">
        <f t="shared" si="52"/>
        <v>2531.2078034707265</v>
      </c>
      <c r="Y256" s="3">
        <f t="shared" si="53"/>
        <v>3880817.8522090255</v>
      </c>
      <c r="Z256" s="3">
        <f t="shared" si="54"/>
        <v>-226785.7362409379</v>
      </c>
      <c r="AA256" s="3">
        <f t="shared" si="55"/>
        <v>3887438.613301388</v>
      </c>
      <c r="AB256" s="3">
        <f t="shared" si="56"/>
        <v>3840817.8522090255</v>
      </c>
      <c r="AC256" s="3">
        <f t="shared" si="57"/>
        <v>-224285.7362409379</v>
      </c>
      <c r="AD256" s="3">
        <f t="shared" si="58"/>
        <v>3847360.8961635884</v>
      </c>
      <c r="AE256" s="3">
        <f t="shared" si="59"/>
        <v>3855817.8522090255</v>
      </c>
      <c r="AF256" s="3">
        <f t="shared" si="63"/>
        <v>-249285.7362409379</v>
      </c>
      <c r="AG256" s="3">
        <f t="shared" si="60"/>
        <v>3863867.8403520752</v>
      </c>
      <c r="AH256" s="3">
        <f t="shared" si="61"/>
        <v>8.1699014708660284E-2</v>
      </c>
      <c r="AI256" s="3">
        <f t="shared" si="62"/>
        <v>-4.9912707056137939E-3</v>
      </c>
    </row>
    <row r="257" spans="19:35" x14ac:dyDescent="0.3">
      <c r="S257" s="6">
        <v>240</v>
      </c>
      <c r="T257" s="4">
        <f t="shared" si="48"/>
        <v>120</v>
      </c>
      <c r="U257" s="3">
        <f t="shared" si="49"/>
        <v>-3892073.1187770972</v>
      </c>
      <c r="V257" s="3">
        <f t="shared" si="50"/>
        <v>236817.24180380473</v>
      </c>
      <c r="W257" s="3">
        <f t="shared" si="51"/>
        <v>-31240.582370047374</v>
      </c>
      <c r="X257" s="3">
        <f t="shared" si="52"/>
        <v>2530.6088509860529</v>
      </c>
      <c r="Y257" s="3">
        <f t="shared" si="53"/>
        <v>3896447.9460759447</v>
      </c>
      <c r="Z257" s="3">
        <f t="shared" si="54"/>
        <v>-228051.63914988705</v>
      </c>
      <c r="AA257" s="3">
        <f t="shared" si="55"/>
        <v>3903115.9535169331</v>
      </c>
      <c r="AB257" s="3">
        <f t="shared" si="56"/>
        <v>3856447.9460759447</v>
      </c>
      <c r="AC257" s="3">
        <f t="shared" si="57"/>
        <v>-225551.63914988705</v>
      </c>
      <c r="AD257" s="3">
        <f t="shared" si="58"/>
        <v>3863038.2217519637</v>
      </c>
      <c r="AE257" s="3">
        <f t="shared" si="59"/>
        <v>3871447.9460759447</v>
      </c>
      <c r="AF257" s="3">
        <f t="shared" si="63"/>
        <v>-250551.63914988705</v>
      </c>
      <c r="AG257" s="3">
        <f t="shared" si="60"/>
        <v>3879547.0512749739</v>
      </c>
      <c r="AH257" s="3">
        <f t="shared" si="61"/>
        <v>8.104089362536393E-2</v>
      </c>
      <c r="AI257" s="3">
        <f t="shared" si="62"/>
        <v>-4.9575550553275964E-3</v>
      </c>
    </row>
    <row r="258" spans="19:35" x14ac:dyDescent="0.3">
      <c r="S258" s="6">
        <v>241</v>
      </c>
      <c r="T258" s="4">
        <f t="shared" si="48"/>
        <v>120.5</v>
      </c>
      <c r="U258" s="3">
        <f t="shared" si="49"/>
        <v>-3907693.3897018977</v>
      </c>
      <c r="V258" s="3">
        <f t="shared" si="50"/>
        <v>238082.54498990899</v>
      </c>
      <c r="W258" s="3">
        <f t="shared" si="51"/>
        <v>-31230.816942365516</v>
      </c>
      <c r="X258" s="3">
        <f t="shared" si="52"/>
        <v>2530.0114656018859</v>
      </c>
      <c r="Y258" s="3">
        <f t="shared" si="53"/>
        <v>3912073.1187770972</v>
      </c>
      <c r="Z258" s="3">
        <f t="shared" si="54"/>
        <v>-229317.24180380473</v>
      </c>
      <c r="AA258" s="3">
        <f t="shared" si="55"/>
        <v>3918788.3949056077</v>
      </c>
      <c r="AB258" s="3">
        <f t="shared" si="56"/>
        <v>3872073.1187770972</v>
      </c>
      <c r="AC258" s="3">
        <f t="shared" si="57"/>
        <v>-226817.24180380473</v>
      </c>
      <c r="AD258" s="3">
        <f t="shared" si="58"/>
        <v>3878710.6489574192</v>
      </c>
      <c r="AE258" s="3">
        <f t="shared" si="59"/>
        <v>3887073.1187770972</v>
      </c>
      <c r="AF258" s="3">
        <f t="shared" si="63"/>
        <v>-251817.24180380473</v>
      </c>
      <c r="AG258" s="3">
        <f t="shared" si="60"/>
        <v>3895221.3485229802</v>
      </c>
      <c r="AH258" s="3">
        <f t="shared" si="61"/>
        <v>8.0390894470820651E-2</v>
      </c>
      <c r="AI258" s="3">
        <f t="shared" si="62"/>
        <v>-4.9241798660293826E-3</v>
      </c>
    </row>
    <row r="259" spans="19:35" x14ac:dyDescent="0.3">
      <c r="S259" s="6">
        <v>242</v>
      </c>
      <c r="T259" s="4">
        <f t="shared" si="48"/>
        <v>121</v>
      </c>
      <c r="U259" s="3">
        <f t="shared" si="49"/>
        <v>-3923308.778075357</v>
      </c>
      <c r="V259" s="3">
        <f t="shared" si="50"/>
        <v>239347.54949166498</v>
      </c>
      <c r="W259" s="3">
        <f t="shared" si="51"/>
        <v>-31221.089644134547</v>
      </c>
      <c r="X259" s="3">
        <f t="shared" si="52"/>
        <v>2529.4156398380965</v>
      </c>
      <c r="Y259" s="3">
        <f t="shared" si="53"/>
        <v>3927693.3897018977</v>
      </c>
      <c r="Z259" s="3">
        <f t="shared" si="54"/>
        <v>-230582.54498990899</v>
      </c>
      <c r="AA259" s="3">
        <f t="shared" si="55"/>
        <v>3934455.9564903006</v>
      </c>
      <c r="AB259" s="3">
        <f t="shared" si="56"/>
        <v>3887693.3897018977</v>
      </c>
      <c r="AC259" s="3">
        <f t="shared" si="57"/>
        <v>-228082.54498990899</v>
      </c>
      <c r="AD259" s="3">
        <f t="shared" si="58"/>
        <v>3894378.1967935404</v>
      </c>
      <c r="AE259" s="3">
        <f t="shared" si="59"/>
        <v>3902693.3897018977</v>
      </c>
      <c r="AF259" s="3">
        <f t="shared" si="63"/>
        <v>-253082.54498990899</v>
      </c>
      <c r="AG259" s="3">
        <f t="shared" si="60"/>
        <v>3910890.7512996905</v>
      </c>
      <c r="AH259" s="3">
        <f t="shared" si="61"/>
        <v>7.9748882655513859E-2</v>
      </c>
      <c r="AI259" s="3">
        <f t="shared" si="62"/>
        <v>-4.8911406997822829E-3</v>
      </c>
    </row>
    <row r="260" spans="19:35" x14ac:dyDescent="0.3">
      <c r="S260" s="6">
        <v>243</v>
      </c>
      <c r="T260" s="4">
        <f t="shared" si="48"/>
        <v>121.5</v>
      </c>
      <c r="U260" s="3">
        <f t="shared" si="49"/>
        <v>-3938919.302960204</v>
      </c>
      <c r="V260" s="3">
        <f t="shared" si="50"/>
        <v>240612.25608879884</v>
      </c>
      <c r="W260" s="3">
        <f t="shared" si="51"/>
        <v>-31211.4001548919</v>
      </c>
      <c r="X260" s="3">
        <f t="shared" si="52"/>
        <v>2528.821366243073</v>
      </c>
      <c r="Y260" s="3">
        <f t="shared" si="53"/>
        <v>3943308.778075357</v>
      </c>
      <c r="Z260" s="3">
        <f t="shared" si="54"/>
        <v>-231847.54949166498</v>
      </c>
      <c r="AA260" s="3">
        <f t="shared" si="55"/>
        <v>3950118.6571356882</v>
      </c>
      <c r="AB260" s="3">
        <f t="shared" si="56"/>
        <v>3903308.778075357</v>
      </c>
      <c r="AC260" s="3">
        <f t="shared" si="57"/>
        <v>-229347.54949166498</v>
      </c>
      <c r="AD260" s="3">
        <f t="shared" si="58"/>
        <v>3910040.8841159153</v>
      </c>
      <c r="AE260" s="3">
        <f t="shared" si="59"/>
        <v>3918308.778075357</v>
      </c>
      <c r="AF260" s="3">
        <f t="shared" si="63"/>
        <v>-254347.54949166498</v>
      </c>
      <c r="AG260" s="3">
        <f t="shared" si="60"/>
        <v>3926555.2786475336</v>
      </c>
      <c r="AH260" s="3">
        <f t="shared" si="61"/>
        <v>7.9114726383785958E-2</v>
      </c>
      <c r="AI260" s="3">
        <f t="shared" si="62"/>
        <v>-4.8584331865578548E-3</v>
      </c>
    </row>
    <row r="261" spans="19:35" x14ac:dyDescent="0.3">
      <c r="S261" s="6">
        <v>244</v>
      </c>
      <c r="T261" s="4">
        <f t="shared" si="48"/>
        <v>122</v>
      </c>
      <c r="U261" s="3">
        <f t="shared" si="49"/>
        <v>-3954524.9832589687</v>
      </c>
      <c r="V261" s="3">
        <f t="shared" si="50"/>
        <v>241876.66555731208</v>
      </c>
      <c r="W261" s="3">
        <f t="shared" si="51"/>
        <v>-31201.74815827308</v>
      </c>
      <c r="X261" s="3">
        <f t="shared" si="52"/>
        <v>2528.228637394313</v>
      </c>
      <c r="Y261" s="3">
        <f t="shared" si="53"/>
        <v>3958919.302960204</v>
      </c>
      <c r="Z261" s="3">
        <f t="shared" si="54"/>
        <v>-233112.25608879884</v>
      </c>
      <c r="AA261" s="3">
        <f t="shared" si="55"/>
        <v>3965776.5155502292</v>
      </c>
      <c r="AB261" s="3">
        <f t="shared" si="56"/>
        <v>3918919.302960204</v>
      </c>
      <c r="AC261" s="3">
        <f t="shared" si="57"/>
        <v>-230612.25608879884</v>
      </c>
      <c r="AD261" s="3">
        <f t="shared" si="58"/>
        <v>3925698.7296241233</v>
      </c>
      <c r="AE261" s="3">
        <f t="shared" si="59"/>
        <v>3933919.302960204</v>
      </c>
      <c r="AF261" s="3">
        <f t="shared" si="63"/>
        <v>-255612.25608879884</v>
      </c>
      <c r="AG261" s="3">
        <f t="shared" si="60"/>
        <v>3942214.949449827</v>
      </c>
      <c r="AH261" s="3">
        <f t="shared" si="61"/>
        <v>7.8488296584251466E-2</v>
      </c>
      <c r="AI261" s="3">
        <f t="shared" si="62"/>
        <v>-4.8260530231321866E-3</v>
      </c>
    </row>
    <row r="262" spans="19:35" x14ac:dyDescent="0.3">
      <c r="S262" s="6">
        <v>245</v>
      </c>
      <c r="T262" s="4">
        <f t="shared" si="48"/>
        <v>122.5</v>
      </c>
      <c r="U262" s="3">
        <f t="shared" si="49"/>
        <v>-3970125.8377160314</v>
      </c>
      <c r="V262" s="3">
        <f t="shared" si="50"/>
        <v>243140.77866949598</v>
      </c>
      <c r="W262" s="3">
        <f t="shared" si="51"/>
        <v>-31192.13334194151</v>
      </c>
      <c r="X262" s="3">
        <f t="shared" si="52"/>
        <v>2527.6374458989794</v>
      </c>
      <c r="Y262" s="3">
        <f t="shared" si="53"/>
        <v>3974524.9832589687</v>
      </c>
      <c r="Z262" s="3">
        <f t="shared" si="54"/>
        <v>-234376.66555731208</v>
      </c>
      <c r="AA262" s="3">
        <f t="shared" si="55"/>
        <v>3981429.5502881208</v>
      </c>
      <c r="AB262" s="3">
        <f t="shared" si="56"/>
        <v>3934524.9832589687</v>
      </c>
      <c r="AC262" s="3">
        <f t="shared" si="57"/>
        <v>-231876.66555731208</v>
      </c>
      <c r="AD262" s="3">
        <f t="shared" si="58"/>
        <v>3941351.7518636887</v>
      </c>
      <c r="AE262" s="3">
        <f t="shared" si="59"/>
        <v>3949524.9832589687</v>
      </c>
      <c r="AF262" s="3">
        <f t="shared" si="63"/>
        <v>-256876.66555731208</v>
      </c>
      <c r="AG262" s="3">
        <f t="shared" si="60"/>
        <v>3957869.7824327927</v>
      </c>
      <c r="AH262" s="3">
        <f t="shared" si="61"/>
        <v>7.7869466842233698E-2</v>
      </c>
      <c r="AI262" s="3">
        <f t="shared" si="62"/>
        <v>-4.7939959719976244E-3</v>
      </c>
    </row>
    <row r="263" spans="19:35" x14ac:dyDescent="0.3">
      <c r="S263" s="6">
        <v>246</v>
      </c>
      <c r="T263" s="4">
        <f t="shared" si="48"/>
        <v>123</v>
      </c>
      <c r="U263" s="3">
        <f t="shared" si="49"/>
        <v>-3985721.884919635</v>
      </c>
      <c r="V263" s="3">
        <f t="shared" si="50"/>
        <v>244404.59619394646</v>
      </c>
      <c r="W263" s="3">
        <f t="shared" si="51"/>
        <v>-31182.555397519915</v>
      </c>
      <c r="X263" s="3">
        <f t="shared" si="52"/>
        <v>2527.0477843944236</v>
      </c>
      <c r="Y263" s="3">
        <f t="shared" si="53"/>
        <v>3990125.8377160314</v>
      </c>
      <c r="Z263" s="3">
        <f t="shared" si="54"/>
        <v>-235640.77866949598</v>
      </c>
      <c r="AA263" s="3">
        <f t="shared" si="55"/>
        <v>3997077.7797512305</v>
      </c>
      <c r="AB263" s="3">
        <f t="shared" si="56"/>
        <v>3950125.8377160314</v>
      </c>
      <c r="AC263" s="3">
        <f t="shared" si="57"/>
        <v>-233140.77866949598</v>
      </c>
      <c r="AD263" s="3">
        <f t="shared" si="58"/>
        <v>3956999.9692280008</v>
      </c>
      <c r="AE263" s="3">
        <f t="shared" si="59"/>
        <v>3965125.8377160314</v>
      </c>
      <c r="AF263" s="3">
        <f t="shared" si="63"/>
        <v>-258140.77866949598</v>
      </c>
      <c r="AG263" s="3">
        <f t="shared" si="60"/>
        <v>3973519.7961675432</v>
      </c>
      <c r="AH263" s="3">
        <f t="shared" si="61"/>
        <v>7.7258113334146242E-2</v>
      </c>
      <c r="AI263" s="3">
        <f t="shared" si="62"/>
        <v>-4.7622578602894393E-3</v>
      </c>
    </row>
    <row r="264" spans="19:35" x14ac:dyDescent="0.3">
      <c r="S264" s="6">
        <v>247</v>
      </c>
      <c r="T264" s="4">
        <f t="shared" si="48"/>
        <v>123.5</v>
      </c>
      <c r="U264" s="3">
        <f t="shared" si="49"/>
        <v>-4001313.1433038665</v>
      </c>
      <c r="V264" s="3">
        <f t="shared" si="50"/>
        <v>245668.11889557919</v>
      </c>
      <c r="W264" s="3">
        <f t="shared" si="51"/>
        <v>-31173.014020523147</v>
      </c>
      <c r="X264" s="3">
        <f t="shared" si="52"/>
        <v>2526.4596455486781</v>
      </c>
      <c r="Y264" s="3">
        <f t="shared" si="53"/>
        <v>4005721.884919635</v>
      </c>
      <c r="Z264" s="3">
        <f t="shared" si="54"/>
        <v>-236904.59619394646</v>
      </c>
      <c r="AA264" s="3">
        <f t="shared" si="55"/>
        <v>4012721.2221909873</v>
      </c>
      <c r="AB264" s="3">
        <f t="shared" si="56"/>
        <v>3965721.884919635</v>
      </c>
      <c r="AC264" s="3">
        <f t="shared" si="57"/>
        <v>-234404.59619394646</v>
      </c>
      <c r="AD264" s="3">
        <f t="shared" si="58"/>
        <v>3972643.3999602068</v>
      </c>
      <c r="AE264" s="3">
        <f t="shared" si="59"/>
        <v>3980721.884919635</v>
      </c>
      <c r="AF264" s="3">
        <f t="shared" si="63"/>
        <v>-259404.59619394646</v>
      </c>
      <c r="AG264" s="3">
        <f t="shared" si="60"/>
        <v>3989165.0090720337</v>
      </c>
      <c r="AH264" s="3">
        <f t="shared" si="61"/>
        <v>7.6654114763768502E-2</v>
      </c>
      <c r="AI264" s="3">
        <f t="shared" si="62"/>
        <v>-4.7308345787282508E-3</v>
      </c>
    </row>
    <row r="265" spans="19:35" x14ac:dyDescent="0.3">
      <c r="S265" s="6">
        <v>248</v>
      </c>
      <c r="T265" s="4">
        <f t="shared" si="48"/>
        <v>124</v>
      </c>
      <c r="U265" s="3">
        <f t="shared" si="49"/>
        <v>-4016899.6311505991</v>
      </c>
      <c r="V265" s="3">
        <f t="shared" si="50"/>
        <v>246931.34753564486</v>
      </c>
      <c r="W265" s="3">
        <f t="shared" si="51"/>
        <v>-31163.508910292439</v>
      </c>
      <c r="X265" s="3">
        <f t="shared" si="52"/>
        <v>2525.8730220609159</v>
      </c>
      <c r="Y265" s="3">
        <f t="shared" si="53"/>
        <v>4021313.1433038665</v>
      </c>
      <c r="Z265" s="3">
        <f t="shared" si="54"/>
        <v>-238168.11889557919</v>
      </c>
      <c r="AA265" s="3">
        <f t="shared" si="55"/>
        <v>4028359.895710248</v>
      </c>
      <c r="AB265" s="3">
        <f t="shared" si="56"/>
        <v>3981313.1433038665</v>
      </c>
      <c r="AC265" s="3">
        <f t="shared" si="57"/>
        <v>-235668.11889557919</v>
      </c>
      <c r="AD265" s="3">
        <f t="shared" si="58"/>
        <v>3988282.0621550698</v>
      </c>
      <c r="AE265" s="3">
        <f t="shared" si="59"/>
        <v>3996313.1433038665</v>
      </c>
      <c r="AF265" s="3">
        <f t="shared" si="63"/>
        <v>-260668.11889557919</v>
      </c>
      <c r="AG265" s="3">
        <f t="shared" si="60"/>
        <v>4004805.4394129799</v>
      </c>
      <c r="AH265" s="3">
        <f t="shared" si="61"/>
        <v>7.6057352300346853E-2</v>
      </c>
      <c r="AI265" s="3">
        <f t="shared" si="62"/>
        <v>-4.6997220805778308E-3</v>
      </c>
    </row>
    <row r="266" spans="19:35" x14ac:dyDescent="0.3">
      <c r="S266" s="6">
        <v>249</v>
      </c>
      <c r="T266" s="4">
        <f t="shared" si="48"/>
        <v>124.5</v>
      </c>
      <c r="U266" s="3">
        <f t="shared" si="49"/>
        <v>-4032481.3665914075</v>
      </c>
      <c r="V266" s="3">
        <f t="shared" si="50"/>
        <v>248194.2828717448</v>
      </c>
      <c r="W266" s="3">
        <f t="shared" si="51"/>
        <v>-31154.039769931045</v>
      </c>
      <c r="X266" s="3">
        <f t="shared" si="52"/>
        <v>2525.2879066618839</v>
      </c>
      <c r="Y266" s="3">
        <f t="shared" si="53"/>
        <v>4036899.6311505991</v>
      </c>
      <c r="Z266" s="3">
        <f t="shared" si="54"/>
        <v>-239431.34753564486</v>
      </c>
      <c r="AA266" s="3">
        <f t="shared" si="55"/>
        <v>4043993.8182651293</v>
      </c>
      <c r="AB266" s="3">
        <f t="shared" si="56"/>
        <v>3996899.6311505991</v>
      </c>
      <c r="AC266" s="3">
        <f t="shared" si="57"/>
        <v>-236931.34753564486</v>
      </c>
      <c r="AD266" s="3">
        <f t="shared" si="58"/>
        <v>4003915.9737607944</v>
      </c>
      <c r="AE266" s="3">
        <f t="shared" si="59"/>
        <v>4011899.6311505991</v>
      </c>
      <c r="AF266" s="3">
        <f t="shared" si="63"/>
        <v>-261931.34753564486</v>
      </c>
      <c r="AG266" s="3">
        <f t="shared" si="60"/>
        <v>4020441.1053077434</v>
      </c>
      <c r="AH266" s="3">
        <f t="shared" si="61"/>
        <v>7.5467709518459325E-2</v>
      </c>
      <c r="AI266" s="3">
        <f t="shared" si="62"/>
        <v>-4.6689163806180999E-3</v>
      </c>
    </row>
    <row r="267" spans="19:35" x14ac:dyDescent="0.3">
      <c r="S267" s="6">
        <v>250</v>
      </c>
      <c r="T267" s="4">
        <f t="shared" si="48"/>
        <v>125</v>
      </c>
      <c r="U267" s="3">
        <f t="shared" si="49"/>
        <v>-4048058.3676094455</v>
      </c>
      <c r="V267" s="3">
        <f t="shared" si="50"/>
        <v>249456.92565784664</v>
      </c>
      <c r="W267" s="3">
        <f t="shared" si="51"/>
        <v>-31144.60630624124</v>
      </c>
      <c r="X267" s="3">
        <f t="shared" si="52"/>
        <v>2524.7042921143066</v>
      </c>
      <c r="Y267" s="3">
        <f t="shared" si="53"/>
        <v>4052481.3665914075</v>
      </c>
      <c r="Z267" s="3">
        <f t="shared" si="54"/>
        <v>-240694.2828717448</v>
      </c>
      <c r="AA267" s="3">
        <f t="shared" si="55"/>
        <v>4059623.0076668086</v>
      </c>
      <c r="AB267" s="3">
        <f t="shared" si="56"/>
        <v>4012481.3665914075</v>
      </c>
      <c r="AC267" s="3">
        <f t="shared" si="57"/>
        <v>-238194.2828717448</v>
      </c>
      <c r="AD267" s="3">
        <f t="shared" si="58"/>
        <v>4019545.1525808279</v>
      </c>
      <c r="AE267" s="3">
        <f t="shared" si="59"/>
        <v>4027481.3665914075</v>
      </c>
      <c r="AF267" s="3">
        <f t="shared" si="63"/>
        <v>-263194.28287174483</v>
      </c>
      <c r="AG267" s="3">
        <f t="shared" si="60"/>
        <v>4036072.0247261892</v>
      </c>
      <c r="AH267" s="3">
        <f t="shared" si="61"/>
        <v>7.4885072339592046E-2</v>
      </c>
      <c r="AI267" s="3">
        <f t="shared" si="62"/>
        <v>-4.6384135541336184E-3</v>
      </c>
    </row>
    <row r="268" spans="19:35" x14ac:dyDescent="0.3">
      <c r="S268" s="6">
        <v>251</v>
      </c>
      <c r="T268" s="4">
        <f t="shared" si="48"/>
        <v>125.5</v>
      </c>
      <c r="U268" s="3">
        <f t="shared" si="49"/>
        <v>-4063630.6520412979</v>
      </c>
      <c r="V268" s="3">
        <f t="shared" si="50"/>
        <v>250719.27664430041</v>
      </c>
      <c r="W268" s="3">
        <f t="shared" si="51"/>
        <v>-31135.208229662621</v>
      </c>
      <c r="X268" s="3">
        <f t="shared" si="52"/>
        <v>2524.1221712132628</v>
      </c>
      <c r="Y268" s="3">
        <f t="shared" si="53"/>
        <v>4068058.3676094455</v>
      </c>
      <c r="Z268" s="3">
        <f t="shared" si="54"/>
        <v>-241956.92565784664</v>
      </c>
      <c r="AA268" s="3">
        <f t="shared" si="55"/>
        <v>4075247.4815832991</v>
      </c>
      <c r="AB268" s="3">
        <f t="shared" si="56"/>
        <v>4028058.3676094455</v>
      </c>
      <c r="AC268" s="3">
        <f t="shared" si="57"/>
        <v>-239456.92565784664</v>
      </c>
      <c r="AD268" s="3">
        <f t="shared" si="58"/>
        <v>4035169.6162756253</v>
      </c>
      <c r="AE268" s="3">
        <f t="shared" si="59"/>
        <v>4043058.3676094455</v>
      </c>
      <c r="AF268" s="3">
        <f t="shared" si="63"/>
        <v>-264456.92565784662</v>
      </c>
      <c r="AG268" s="3">
        <f t="shared" si="60"/>
        <v>4051698.2154925056</v>
      </c>
      <c r="AH268" s="3">
        <f t="shared" si="61"/>
        <v>7.4309328975367211E-2</v>
      </c>
      <c r="AI268" s="3">
        <f t="shared" si="62"/>
        <v>-4.6082097359172449E-3</v>
      </c>
    </row>
    <row r="269" spans="19:35" x14ac:dyDescent="0.3">
      <c r="S269" s="6">
        <v>252</v>
      </c>
      <c r="T269" s="4">
        <f t="shared" si="48"/>
        <v>126</v>
      </c>
      <c r="U269" s="3">
        <f t="shared" si="49"/>
        <v>-4079198.2375787972</v>
      </c>
      <c r="V269" s="3">
        <f t="shared" si="50"/>
        <v>251981.33657785461</v>
      </c>
      <c r="W269" s="3">
        <f t="shared" si="51"/>
        <v>-31125.845254211727</v>
      </c>
      <c r="X269" s="3">
        <f t="shared" si="52"/>
        <v>2523.5415367865371</v>
      </c>
      <c r="Y269" s="3">
        <f t="shared" si="53"/>
        <v>4083630.6520412979</v>
      </c>
      <c r="Z269" s="3">
        <f t="shared" si="54"/>
        <v>-243219.27664430041</v>
      </c>
      <c r="AA269" s="3">
        <f t="shared" si="55"/>
        <v>4090867.2575411946</v>
      </c>
      <c r="AB269" s="3">
        <f t="shared" si="56"/>
        <v>4043630.6520412979</v>
      </c>
      <c r="AC269" s="3">
        <f t="shared" si="57"/>
        <v>-240719.27664430041</v>
      </c>
      <c r="AD269" s="3">
        <f t="shared" si="58"/>
        <v>4050789.3823643913</v>
      </c>
      <c r="AE269" s="3">
        <f t="shared" si="59"/>
        <v>4058630.6520412979</v>
      </c>
      <c r="AF269" s="3">
        <f t="shared" si="63"/>
        <v>-265719.27664430044</v>
      </c>
      <c r="AG269" s="3">
        <f t="shared" si="60"/>
        <v>4067319.6952870009</v>
      </c>
      <c r="AH269" s="3">
        <f t="shared" si="61"/>
        <v>7.374036987237384E-2</v>
      </c>
      <c r="AI269" s="3">
        <f t="shared" si="62"/>
        <v>-4.5783011192891418E-3</v>
      </c>
    </row>
    <row r="270" spans="19:35" x14ac:dyDescent="0.3">
      <c r="S270" s="6">
        <v>253</v>
      </c>
      <c r="T270" s="4">
        <f t="shared" si="48"/>
        <v>126.5</v>
      </c>
      <c r="U270" s="3">
        <f t="shared" si="49"/>
        <v>-4094761.1417708104</v>
      </c>
      <c r="V270" s="3">
        <f t="shared" si="50"/>
        <v>253243.10620167261</v>
      </c>
      <c r="W270" s="3">
        <f t="shared" si="51"/>
        <v>-31116.517097422871</v>
      </c>
      <c r="X270" s="3">
        <f t="shared" si="52"/>
        <v>2522.962381694947</v>
      </c>
      <c r="Y270" s="3">
        <f t="shared" si="53"/>
        <v>4099198.2375787972</v>
      </c>
      <c r="Z270" s="3">
        <f t="shared" si="54"/>
        <v>-244481.33657785461</v>
      </c>
      <c r="AA270" s="3">
        <f t="shared" si="55"/>
        <v>4106482.3529273826</v>
      </c>
      <c r="AB270" s="3">
        <f t="shared" si="56"/>
        <v>4059198.2375787972</v>
      </c>
      <c r="AC270" s="3">
        <f t="shared" si="57"/>
        <v>-241981.33657785461</v>
      </c>
      <c r="AD270" s="3">
        <f t="shared" si="58"/>
        <v>4066404.4682267918</v>
      </c>
      <c r="AE270" s="3">
        <f t="shared" si="59"/>
        <v>4074198.2375787972</v>
      </c>
      <c r="AF270" s="3">
        <f t="shared" si="63"/>
        <v>-266981.33657785458</v>
      </c>
      <c r="AG270" s="3">
        <f t="shared" si="60"/>
        <v>4082936.4816478686</v>
      </c>
      <c r="AH270" s="3">
        <f t="shared" si="61"/>
        <v>7.317808765854325E-2</v>
      </c>
      <c r="AI270" s="3">
        <f t="shared" si="62"/>
        <v>-4.5486839551306668E-3</v>
      </c>
    </row>
    <row r="271" spans="19:35" x14ac:dyDescent="0.3">
      <c r="S271" s="6">
        <v>254</v>
      </c>
      <c r="T271" s="4">
        <f t="shared" si="48"/>
        <v>127</v>
      </c>
      <c r="U271" s="3">
        <f t="shared" si="49"/>
        <v>-4110319.3820249997</v>
      </c>
      <c r="V271" s="3">
        <f t="shared" si="50"/>
        <v>254504.58625534907</v>
      </c>
      <c r="W271" s="3">
        <f t="shared" si="51"/>
        <v>-31107.223480290235</v>
      </c>
      <c r="X271" s="3">
        <f t="shared" si="52"/>
        <v>2522.3846988326454</v>
      </c>
      <c r="Y271" s="3">
        <f t="shared" si="53"/>
        <v>4114761.1417708104</v>
      </c>
      <c r="Z271" s="3">
        <f t="shared" si="54"/>
        <v>-245743.10620167261</v>
      </c>
      <c r="AA271" s="3">
        <f t="shared" si="55"/>
        <v>4122092.7849907344</v>
      </c>
      <c r="AB271" s="3">
        <f t="shared" si="56"/>
        <v>4074761.1417708104</v>
      </c>
      <c r="AC271" s="3">
        <f t="shared" si="57"/>
        <v>-243243.10620167261</v>
      </c>
      <c r="AD271" s="3">
        <f t="shared" si="58"/>
        <v>4082014.8911046362</v>
      </c>
      <c r="AE271" s="3">
        <f t="shared" si="59"/>
        <v>4089761.1417708104</v>
      </c>
      <c r="AF271" s="3">
        <f t="shared" si="63"/>
        <v>-268243.10620167258</v>
      </c>
      <c r="AG271" s="3">
        <f t="shared" si="60"/>
        <v>4098548.5919729201</v>
      </c>
      <c r="AH271" s="3">
        <f t="shared" si="61"/>
        <v>7.2622377091028284E-2</v>
      </c>
      <c r="AI271" s="3">
        <f t="shared" si="62"/>
        <v>-4.5193545509335685E-3</v>
      </c>
    </row>
    <row r="272" spans="19:35" x14ac:dyDescent="0.3">
      <c r="S272" s="6">
        <v>255</v>
      </c>
      <c r="T272" s="4">
        <f t="shared" si="48"/>
        <v>127.5</v>
      </c>
      <c r="U272" s="3">
        <f t="shared" si="49"/>
        <v>-4125872.9756095503</v>
      </c>
      <c r="V272" s="3">
        <f t="shared" si="50"/>
        <v>255765.77747492676</v>
      </c>
      <c r="W272" s="3">
        <f t="shared" si="51"/>
        <v>-31097.964127211129</v>
      </c>
      <c r="X272" s="3">
        <f t="shared" si="52"/>
        <v>2521.8084811274016</v>
      </c>
      <c r="Y272" s="3">
        <f t="shared" si="53"/>
        <v>4130319.3820249997</v>
      </c>
      <c r="Z272" s="3">
        <f t="shared" si="54"/>
        <v>-247004.58625534907</v>
      </c>
      <c r="AA272" s="3">
        <f t="shared" si="55"/>
        <v>4137698.5708437669</v>
      </c>
      <c r="AB272" s="3">
        <f t="shared" si="56"/>
        <v>4090319.3820249997</v>
      </c>
      <c r="AC272" s="3">
        <f t="shared" si="57"/>
        <v>-244504.58625534907</v>
      </c>
      <c r="AD272" s="3">
        <f t="shared" si="58"/>
        <v>4097620.6681035366</v>
      </c>
      <c r="AE272" s="3">
        <f t="shared" si="59"/>
        <v>4105319.3820249997</v>
      </c>
      <c r="AF272" s="3">
        <f t="shared" si="63"/>
        <v>-269504.5862553491</v>
      </c>
      <c r="AG272" s="3">
        <f t="shared" si="60"/>
        <v>4114156.0435212944</v>
      </c>
      <c r="AH272" s="3">
        <f t="shared" si="61"/>
        <v>7.2073135005529199E-2</v>
      </c>
      <c r="AI272" s="3">
        <f t="shared" si="62"/>
        <v>-4.4903092698638167E-3</v>
      </c>
    </row>
    <row r="273" spans="19:35" x14ac:dyDescent="0.3">
      <c r="S273" s="6">
        <v>256</v>
      </c>
      <c r="T273" s="4">
        <f t="shared" si="48"/>
        <v>128</v>
      </c>
      <c r="U273" s="3">
        <f t="shared" si="49"/>
        <v>-4141421.9396548718</v>
      </c>
      <c r="V273" s="3">
        <f t="shared" si="50"/>
        <v>257026.68059291312</v>
      </c>
      <c r="W273" s="3">
        <f t="shared" si="51"/>
        <v>-31088.738765930422</v>
      </c>
      <c r="X273" s="3">
        <f t="shared" si="52"/>
        <v>2521.2337215408588</v>
      </c>
      <c r="Y273" s="3">
        <f t="shared" si="53"/>
        <v>4145872.9756095503</v>
      </c>
      <c r="Z273" s="3">
        <f t="shared" si="54"/>
        <v>-248265.77747492676</v>
      </c>
      <c r="AA273" s="3">
        <f t="shared" si="55"/>
        <v>4153299.7274642745</v>
      </c>
      <c r="AB273" s="3">
        <f t="shared" si="56"/>
        <v>4105872.9756095503</v>
      </c>
      <c r="AC273" s="3">
        <f t="shared" si="57"/>
        <v>-245765.77747492676</v>
      </c>
      <c r="AD273" s="3">
        <f t="shared" si="58"/>
        <v>4113221.8161945362</v>
      </c>
      <c r="AE273" s="3">
        <f t="shared" si="59"/>
        <v>4120872.9756095503</v>
      </c>
      <c r="AF273" s="3">
        <f t="shared" si="63"/>
        <v>-270765.77747492678</v>
      </c>
      <c r="AG273" s="3">
        <f t="shared" si="60"/>
        <v>4129758.8534151376</v>
      </c>
      <c r="AH273" s="3">
        <f t="shared" si="61"/>
        <v>7.1530260267030021E-2</v>
      </c>
      <c r="AI273" s="3">
        <f t="shared" si="62"/>
        <v>-4.4615445298405694E-3</v>
      </c>
    </row>
    <row r="274" spans="19:35" x14ac:dyDescent="0.3">
      <c r="S274" s="6">
        <v>257</v>
      </c>
      <c r="T274" s="4">
        <f t="shared" ref="T274:T337" si="64">T273+$C$4</f>
        <v>128.5</v>
      </c>
      <c r="U274" s="3">
        <f t="shared" ref="U274:U337" si="65">U273+(W273*$C$4)+(AH273*POWER($C$4,2))</f>
        <v>-4156966.2911552722</v>
      </c>
      <c r="V274" s="3">
        <f t="shared" ref="V274:V337" si="66">V273+(X273*$C$4)+(AI273*POWER($C$4,2))</f>
        <v>258287.2963382974</v>
      </c>
      <c r="W274" s="3">
        <f t="shared" ref="W274:W337" si="67">W273+(AH273*T274)</f>
        <v>-31079.547127486108</v>
      </c>
      <c r="X274" s="3">
        <f t="shared" ref="X274:X337" si="68">X273+(AI273*T274)</f>
        <v>2520.6604130687742</v>
      </c>
      <c r="Y274" s="3">
        <f t="shared" ref="Y274:Y337" si="69">$C$19-U273</f>
        <v>4161421.9396548718</v>
      </c>
      <c r="Z274" s="3">
        <f t="shared" ref="Z274:Z337" si="70">$C$20-V273</f>
        <v>-249526.68059291312</v>
      </c>
      <c r="AA274" s="3">
        <f t="shared" ref="AA274:AA337" si="71">SQRT(POWER(Y274,2)+POWER(Z274,2))</f>
        <v>4168896.2716969382</v>
      </c>
      <c r="AB274" s="3">
        <f t="shared" ref="AB274:AB337" si="72">$F$19-U273</f>
        <v>4121421.9396548718</v>
      </c>
      <c r="AC274" s="3">
        <f t="shared" ref="AC274:AC337" si="73">$F$20-V273</f>
        <v>-247026.68059291312</v>
      </c>
      <c r="AD274" s="3">
        <f t="shared" ref="AD274:AD337" si="74">SQRT(POWER(AB274,2)+POWER(AC274,2))</f>
        <v>4128818.3522157134</v>
      </c>
      <c r="AE274" s="3">
        <f t="shared" ref="AE274:AE337" si="75">$I$19-U273</f>
        <v>4136421.9396548718</v>
      </c>
      <c r="AF274" s="3">
        <f t="shared" si="63"/>
        <v>-272026.68059291312</v>
      </c>
      <c r="AG274" s="3">
        <f t="shared" ref="AG274:AG337" si="76">SQRT(POWER(AE274,2)+POWER(AF274,2))</f>
        <v>4145357.0386412521</v>
      </c>
      <c r="AH274" s="3">
        <f t="shared" ref="AH274:AH337" si="77">($C$24*(Y274/POWER(POWER(AA274,2)+POWER($C$25,2),3/2)))+($F$24*(AB274/POWER(POWER(AD274,2)+POWER($F$25,2),3/2)))+($I$24*(AE274/POWER(POWER(AG274,2)+POWER($I$25,2),3/2)))</f>
        <v>7.0993653721890523E-2</v>
      </c>
      <c r="AI274" s="3">
        <f t="shared" ref="AI274:AI337" si="78">$C$24*(Z274/POWER(POWER(AA274,2)+POWER($C$25,2),3/2))+$F$24*(AC274/POWER(POWER(AD274,2)+POWER($F$25,2),3/2))+$I$24*(AF274/POWER(POWER(AG274,2)+POWER($I$25,2),3/2))</f>
        <v>-4.4330568026294988E-3</v>
      </c>
    </row>
    <row r="275" spans="19:35" x14ac:dyDescent="0.3">
      <c r="S275" s="6">
        <v>258</v>
      </c>
      <c r="T275" s="4">
        <f t="shared" si="64"/>
        <v>129</v>
      </c>
      <c r="U275" s="3">
        <f t="shared" si="65"/>
        <v>-4172506.0469706017</v>
      </c>
      <c r="V275" s="3">
        <f t="shared" si="66"/>
        <v>259547.62543656758</v>
      </c>
      <c r="W275" s="3">
        <f t="shared" si="67"/>
        <v>-31070.388946155985</v>
      </c>
      <c r="X275" s="3">
        <f t="shared" si="68"/>
        <v>2520.0885487412352</v>
      </c>
      <c r="Y275" s="3">
        <f t="shared" si="69"/>
        <v>4176966.2911552722</v>
      </c>
      <c r="Z275" s="3">
        <f t="shared" si="70"/>
        <v>-250787.2963382974</v>
      </c>
      <c r="AA275" s="3">
        <f t="shared" si="71"/>
        <v>4184488.2202549097</v>
      </c>
      <c r="AB275" s="3">
        <f t="shared" si="72"/>
        <v>4136966.2911552722</v>
      </c>
      <c r="AC275" s="3">
        <f t="shared" si="73"/>
        <v>-248287.2963382974</v>
      </c>
      <c r="AD275" s="3">
        <f t="shared" si="74"/>
        <v>4144410.292873763</v>
      </c>
      <c r="AE275" s="3">
        <f t="shared" si="75"/>
        <v>4151966.2911552722</v>
      </c>
      <c r="AF275" s="3">
        <f t="shared" ref="AF275:AF338" si="79">$I$20-V274</f>
        <v>-273287.29633829743</v>
      </c>
      <c r="AG275" s="3">
        <f t="shared" si="76"/>
        <v>4160950.6160527263</v>
      </c>
      <c r="AH275" s="3">
        <f t="shared" si="77"/>
        <v>7.0463218151259499E-2</v>
      </c>
      <c r="AI275" s="3">
        <f t="shared" si="78"/>
        <v>-4.4048426129508836E-3</v>
      </c>
    </row>
    <row r="276" spans="19:35" x14ac:dyDescent="0.3">
      <c r="S276" s="6">
        <v>259</v>
      </c>
      <c r="T276" s="4">
        <f t="shared" si="64"/>
        <v>129.5</v>
      </c>
      <c r="U276" s="3">
        <f t="shared" si="65"/>
        <v>-4188041.2238278752</v>
      </c>
      <c r="V276" s="3">
        <f t="shared" si="66"/>
        <v>260807.66860972755</v>
      </c>
      <c r="W276" s="3">
        <f t="shared" si="67"/>
        <v>-31061.263959405398</v>
      </c>
      <c r="X276" s="3">
        <f t="shared" si="68"/>
        <v>2519.518121622858</v>
      </c>
      <c r="Y276" s="3">
        <f t="shared" si="69"/>
        <v>4192506.0469706017</v>
      </c>
      <c r="Z276" s="3">
        <f t="shared" si="70"/>
        <v>-252047.62543656758</v>
      </c>
      <c r="AA276" s="3">
        <f t="shared" si="71"/>
        <v>4200075.5897213649</v>
      </c>
      <c r="AB276" s="3">
        <f t="shared" si="72"/>
        <v>4152506.0469706017</v>
      </c>
      <c r="AC276" s="3">
        <f t="shared" si="73"/>
        <v>-249547.62543656758</v>
      </c>
      <c r="AD276" s="3">
        <f t="shared" si="74"/>
        <v>4159997.6547455457</v>
      </c>
      <c r="AE276" s="3">
        <f t="shared" si="75"/>
        <v>4167506.0469706017</v>
      </c>
      <c r="AF276" s="3">
        <f t="shared" si="79"/>
        <v>-274547.62543656758</v>
      </c>
      <c r="AG276" s="3">
        <f t="shared" si="76"/>
        <v>4176539.6023705304</v>
      </c>
      <c r="AH276" s="3">
        <f t="shared" si="77"/>
        <v>6.9938858225762776E-2</v>
      </c>
      <c r="AI276" s="3">
        <f t="shared" si="78"/>
        <v>-4.3768985376020043E-3</v>
      </c>
    </row>
    <row r="277" spans="19:35" x14ac:dyDescent="0.3">
      <c r="S277" s="6">
        <v>260</v>
      </c>
      <c r="T277" s="4">
        <f t="shared" si="64"/>
        <v>130</v>
      </c>
      <c r="U277" s="3">
        <f t="shared" si="65"/>
        <v>-4203571.8383228639</v>
      </c>
      <c r="V277" s="3">
        <f t="shared" si="66"/>
        <v>262067.42657631435</v>
      </c>
      <c r="W277" s="3">
        <f t="shared" si="67"/>
        <v>-31052.171907836047</v>
      </c>
      <c r="X277" s="3">
        <f t="shared" si="68"/>
        <v>2518.9491248129698</v>
      </c>
      <c r="Y277" s="3">
        <f t="shared" si="69"/>
        <v>4208041.2238278752</v>
      </c>
      <c r="Z277" s="3">
        <f t="shared" si="70"/>
        <v>-253307.66860972755</v>
      </c>
      <c r="AA277" s="3">
        <f t="shared" si="71"/>
        <v>4215658.3965510409</v>
      </c>
      <c r="AB277" s="3">
        <f t="shared" si="72"/>
        <v>4168041.2238278752</v>
      </c>
      <c r="AC277" s="3">
        <f t="shared" si="73"/>
        <v>-250807.66860972755</v>
      </c>
      <c r="AD277" s="3">
        <f t="shared" si="74"/>
        <v>4175580.4542796225</v>
      </c>
      <c r="AE277" s="3">
        <f t="shared" si="75"/>
        <v>4183041.2238278752</v>
      </c>
      <c r="AF277" s="3">
        <f t="shared" si="79"/>
        <v>-275807.66860972752</v>
      </c>
      <c r="AG277" s="3">
        <f t="shared" si="76"/>
        <v>4192124.0141850933</v>
      </c>
      <c r="AH277" s="3">
        <f t="shared" si="77"/>
        <v>6.9420480461431053E-2</v>
      </c>
      <c r="AI277" s="3">
        <f t="shared" si="78"/>
        <v>-4.3492212045940183E-3</v>
      </c>
    </row>
    <row r="278" spans="19:35" x14ac:dyDescent="0.3">
      <c r="S278" s="6">
        <v>261</v>
      </c>
      <c r="T278" s="4">
        <f t="shared" si="64"/>
        <v>130.5</v>
      </c>
      <c r="U278" s="3">
        <f t="shared" si="65"/>
        <v>-4219097.9069216624</v>
      </c>
      <c r="V278" s="3">
        <f t="shared" si="66"/>
        <v>263326.90005141555</v>
      </c>
      <c r="W278" s="3">
        <f t="shared" si="67"/>
        <v>-31043.112535135831</v>
      </c>
      <c r="X278" s="3">
        <f t="shared" si="68"/>
        <v>2518.3815514457701</v>
      </c>
      <c r="Y278" s="3">
        <f t="shared" si="69"/>
        <v>4223571.8383228639</v>
      </c>
      <c r="Z278" s="3">
        <f t="shared" si="70"/>
        <v>-254567.42657631435</v>
      </c>
      <c r="AA278" s="3">
        <f t="shared" si="71"/>
        <v>4231236.6570717432</v>
      </c>
      <c r="AB278" s="3">
        <f t="shared" si="72"/>
        <v>4183571.8383228639</v>
      </c>
      <c r="AC278" s="3">
        <f t="shared" si="73"/>
        <v>-252067.42657631435</v>
      </c>
      <c r="AD278" s="3">
        <f t="shared" si="74"/>
        <v>4191158.7077977555</v>
      </c>
      <c r="AE278" s="3">
        <f t="shared" si="75"/>
        <v>4198571.8383228639</v>
      </c>
      <c r="AF278" s="3">
        <f t="shared" si="79"/>
        <v>-277067.42657631438</v>
      </c>
      <c r="AG278" s="3">
        <f t="shared" si="76"/>
        <v>4207703.86795785</v>
      </c>
      <c r="AH278" s="3">
        <f t="shared" si="77"/>
        <v>6.890799317681956E-2</v>
      </c>
      <c r="AI278" s="3">
        <f t="shared" si="78"/>
        <v>-4.3218072923025559E-3</v>
      </c>
    </row>
    <row r="279" spans="19:35" x14ac:dyDescent="0.3">
      <c r="S279" s="6">
        <v>262</v>
      </c>
      <c r="T279" s="4">
        <f t="shared" si="64"/>
        <v>131</v>
      </c>
      <c r="U279" s="3">
        <f t="shared" si="65"/>
        <v>-4234619.4459622316</v>
      </c>
      <c r="V279" s="3">
        <f t="shared" si="66"/>
        <v>264586.08974668663</v>
      </c>
      <c r="W279" s="3">
        <f t="shared" si="67"/>
        <v>-31034.085588029669</v>
      </c>
      <c r="X279" s="3">
        <f t="shared" si="68"/>
        <v>2517.8153946904786</v>
      </c>
      <c r="Y279" s="3">
        <f t="shared" si="69"/>
        <v>4239097.9069216624</v>
      </c>
      <c r="Z279" s="3">
        <f t="shared" si="70"/>
        <v>-255826.90005141555</v>
      </c>
      <c r="AA279" s="3">
        <f t="shared" si="71"/>
        <v>4246810.3874858292</v>
      </c>
      <c r="AB279" s="3">
        <f t="shared" si="72"/>
        <v>4199097.9069216624</v>
      </c>
      <c r="AC279" s="3">
        <f t="shared" si="73"/>
        <v>-253326.90005141555</v>
      </c>
      <c r="AD279" s="3">
        <f t="shared" si="74"/>
        <v>4206732.431496392</v>
      </c>
      <c r="AE279" s="3">
        <f t="shared" si="75"/>
        <v>4214097.9069216624</v>
      </c>
      <c r="AF279" s="3">
        <f t="shared" si="79"/>
        <v>-278326.90005141555</v>
      </c>
      <c r="AG279" s="3">
        <f t="shared" si="76"/>
        <v>4223279.1800227659</v>
      </c>
      <c r="AH279" s="3">
        <f t="shared" si="77"/>
        <v>6.8401306451295898E-2</v>
      </c>
      <c r="AI279" s="3">
        <f t="shared" si="78"/>
        <v>-4.2946535286327364E-3</v>
      </c>
    </row>
    <row r="280" spans="19:35" x14ac:dyDescent="0.3">
      <c r="S280" s="6">
        <v>263</v>
      </c>
      <c r="T280" s="4">
        <f t="shared" si="64"/>
        <v>131.5</v>
      </c>
      <c r="U280" s="3">
        <f t="shared" si="65"/>
        <v>-4250136.4716559201</v>
      </c>
      <c r="V280" s="3">
        <f t="shared" si="66"/>
        <v>265844.99637036852</v>
      </c>
      <c r="W280" s="3">
        <f t="shared" si="67"/>
        <v>-31025.090816231324</v>
      </c>
      <c r="X280" s="3">
        <f t="shared" si="68"/>
        <v>2517.2506477514635</v>
      </c>
      <c r="Y280" s="3">
        <f t="shared" si="69"/>
        <v>4254619.4459622316</v>
      </c>
      <c r="Z280" s="3">
        <f t="shared" si="70"/>
        <v>-257086.08974668663</v>
      </c>
      <c r="AA280" s="3">
        <f t="shared" si="71"/>
        <v>4262379.6038716687</v>
      </c>
      <c r="AB280" s="3">
        <f t="shared" si="72"/>
        <v>4214619.4459622316</v>
      </c>
      <c r="AC280" s="3">
        <f t="shared" si="73"/>
        <v>-254586.08974668663</v>
      </c>
      <c r="AD280" s="3">
        <f t="shared" si="74"/>
        <v>4222301.6414481206</v>
      </c>
      <c r="AE280" s="3">
        <f t="shared" si="75"/>
        <v>4229619.4459622316</v>
      </c>
      <c r="AF280" s="3">
        <f t="shared" si="79"/>
        <v>-279586.08974668663</v>
      </c>
      <c r="AG280" s="3">
        <f t="shared" si="76"/>
        <v>4238849.9665878359</v>
      </c>
      <c r="AH280" s="3">
        <f t="shared" si="77"/>
        <v>6.7900332084448262E-2</v>
      </c>
      <c r="AI280" s="3">
        <f t="shared" si="78"/>
        <v>-4.2677566901977125E-3</v>
      </c>
    </row>
    <row r="281" spans="19:35" x14ac:dyDescent="0.3">
      <c r="S281" s="6">
        <v>264</v>
      </c>
      <c r="T281" s="4">
        <f t="shared" si="64"/>
        <v>132</v>
      </c>
      <c r="U281" s="3">
        <f t="shared" si="65"/>
        <v>-4265649.0000889525</v>
      </c>
      <c r="V281" s="3">
        <f t="shared" si="66"/>
        <v>267103.62062730512</v>
      </c>
      <c r="W281" s="3">
        <f t="shared" si="67"/>
        <v>-31016.127972396178</v>
      </c>
      <c r="X281" s="3">
        <f t="shared" si="68"/>
        <v>2516.6873038683575</v>
      </c>
      <c r="Y281" s="3">
        <f t="shared" si="69"/>
        <v>4270136.4716559201</v>
      </c>
      <c r="Z281" s="3">
        <f t="shared" si="70"/>
        <v>-258344.99637036852</v>
      </c>
      <c r="AA281" s="3">
        <f t="shared" si="71"/>
        <v>4277944.3221850935</v>
      </c>
      <c r="AB281" s="3">
        <f t="shared" si="72"/>
        <v>4230136.4716559201</v>
      </c>
      <c r="AC281" s="3">
        <f t="shared" si="73"/>
        <v>-255844.99637036852</v>
      </c>
      <c r="AD281" s="3">
        <f t="shared" si="74"/>
        <v>4237866.3536031134</v>
      </c>
      <c r="AE281" s="3">
        <f t="shared" si="75"/>
        <v>4245136.4716559201</v>
      </c>
      <c r="AF281" s="3">
        <f t="shared" si="79"/>
        <v>-280844.99637036852</v>
      </c>
      <c r="AG281" s="3">
        <f t="shared" si="76"/>
        <v>4254416.2437365651</v>
      </c>
      <c r="AH281" s="3">
        <f t="shared" si="77"/>
        <v>6.7404983556586237E-2</v>
      </c>
      <c r="AI281" s="3">
        <f t="shared" si="78"/>
        <v>-4.241113601510969E-3</v>
      </c>
    </row>
    <row r="282" spans="19:35" x14ac:dyDescent="0.3">
      <c r="S282" s="6">
        <v>265</v>
      </c>
      <c r="T282" s="4">
        <f t="shared" si="64"/>
        <v>132.5</v>
      </c>
      <c r="U282" s="3">
        <f t="shared" si="65"/>
        <v>-4281157.0472239051</v>
      </c>
      <c r="V282" s="3">
        <f t="shared" si="66"/>
        <v>268361.96321896091</v>
      </c>
      <c r="W282" s="3">
        <f t="shared" si="67"/>
        <v>-31007.19681207493</v>
      </c>
      <c r="X282" s="3">
        <f t="shared" si="68"/>
        <v>2516.1253563161572</v>
      </c>
      <c r="Y282" s="3">
        <f t="shared" si="69"/>
        <v>4285649.0000889525</v>
      </c>
      <c r="Z282" s="3">
        <f t="shared" si="70"/>
        <v>-259603.62062730512</v>
      </c>
      <c r="AA282" s="3">
        <f t="shared" si="71"/>
        <v>4293504.5582607975</v>
      </c>
      <c r="AB282" s="3">
        <f t="shared" si="72"/>
        <v>4245649.0000889525</v>
      </c>
      <c r="AC282" s="3">
        <f t="shared" si="73"/>
        <v>-257103.62062730512</v>
      </c>
      <c r="AD282" s="3">
        <f t="shared" si="74"/>
        <v>4253426.5837905314</v>
      </c>
      <c r="AE282" s="3">
        <f t="shared" si="75"/>
        <v>4260649.0000889525</v>
      </c>
      <c r="AF282" s="3">
        <f t="shared" si="79"/>
        <v>-282103.62062730512</v>
      </c>
      <c r="AG282" s="3">
        <f t="shared" si="76"/>
        <v>4269978.0274294186</v>
      </c>
      <c r="AH282" s="3">
        <f t="shared" si="77"/>
        <v>6.6915175990297976E-2</v>
      </c>
      <c r="AI282" s="3">
        <f t="shared" si="78"/>
        <v>-4.2147211341920961E-3</v>
      </c>
    </row>
    <row r="283" spans="19:35" x14ac:dyDescent="0.3">
      <c r="S283" s="6">
        <v>266</v>
      </c>
      <c r="T283" s="4">
        <f t="shared" si="64"/>
        <v>133</v>
      </c>
      <c r="U283" s="3">
        <f t="shared" si="65"/>
        <v>-4296660.6289011482</v>
      </c>
      <c r="V283" s="3">
        <f t="shared" si="66"/>
        <v>269620.0248434387</v>
      </c>
      <c r="W283" s="3">
        <f t="shared" si="67"/>
        <v>-30998.297093668221</v>
      </c>
      <c r="X283" s="3">
        <f t="shared" si="68"/>
        <v>2515.5647984053098</v>
      </c>
      <c r="Y283" s="3">
        <f t="shared" si="69"/>
        <v>4301157.0472239051</v>
      </c>
      <c r="Z283" s="3">
        <f t="shared" si="70"/>
        <v>-260861.96321896091</v>
      </c>
      <c r="AA283" s="3">
        <f t="shared" si="71"/>
        <v>4309060.3278137464</v>
      </c>
      <c r="AB283" s="3">
        <f t="shared" si="72"/>
        <v>4261157.0472239051</v>
      </c>
      <c r="AC283" s="3">
        <f t="shared" si="73"/>
        <v>-258361.96321896091</v>
      </c>
      <c r="AD283" s="3">
        <f t="shared" si="74"/>
        <v>4268982.3477199227</v>
      </c>
      <c r="AE283" s="3">
        <f t="shared" si="75"/>
        <v>4276157.0472239051</v>
      </c>
      <c r="AF283" s="3">
        <f t="shared" si="79"/>
        <v>-283361.96321896091</v>
      </c>
      <c r="AG283" s="3">
        <f t="shared" si="76"/>
        <v>4285535.3335052524</v>
      </c>
      <c r="AH283" s="3">
        <f t="shared" si="77"/>
        <v>6.6430826113032138E-2</v>
      </c>
      <c r="AI283" s="3">
        <f t="shared" si="78"/>
        <v>-4.1885762061858447E-3</v>
      </c>
    </row>
    <row r="284" spans="19:35" x14ac:dyDescent="0.3">
      <c r="S284" s="6">
        <v>267</v>
      </c>
      <c r="T284" s="4">
        <f t="shared" si="64"/>
        <v>133.5</v>
      </c>
      <c r="U284" s="3">
        <f t="shared" si="65"/>
        <v>-4312159.7608402763</v>
      </c>
      <c r="V284" s="3">
        <f t="shared" si="66"/>
        <v>270877.80619549728</v>
      </c>
      <c r="W284" s="3">
        <f t="shared" si="67"/>
        <v>-30989.428578382132</v>
      </c>
      <c r="X284" s="3">
        <f t="shared" si="68"/>
        <v>2515.0056234817839</v>
      </c>
      <c r="Y284" s="3">
        <f t="shared" si="69"/>
        <v>4316660.6289011482</v>
      </c>
      <c r="Z284" s="3">
        <f t="shared" si="70"/>
        <v>-262120.0248434387</v>
      </c>
      <c r="AA284" s="3">
        <f t="shared" si="71"/>
        <v>4324611.6464405432</v>
      </c>
      <c r="AB284" s="3">
        <f t="shared" si="72"/>
        <v>4276660.6289011482</v>
      </c>
      <c r="AC284" s="3">
        <f t="shared" si="73"/>
        <v>-259620.0248434387</v>
      </c>
      <c r="AD284" s="3">
        <f t="shared" si="74"/>
        <v>4284533.6609825892</v>
      </c>
      <c r="AE284" s="3">
        <f t="shared" si="75"/>
        <v>4291660.6289011482</v>
      </c>
      <c r="AF284" s="3">
        <f t="shared" si="79"/>
        <v>-284620.0248434387</v>
      </c>
      <c r="AG284" s="3">
        <f t="shared" si="76"/>
        <v>4301088.177682722</v>
      </c>
      <c r="AH284" s="3">
        <f t="shared" si="77"/>
        <v>6.5951852220673554E-2</v>
      </c>
      <c r="AI284" s="3">
        <f t="shared" si="78"/>
        <v>-4.1626757809943554E-3</v>
      </c>
    </row>
    <row r="285" spans="19:35" x14ac:dyDescent="0.3">
      <c r="S285" s="6">
        <v>268</v>
      </c>
      <c r="T285" s="4">
        <f t="shared" si="64"/>
        <v>134</v>
      </c>
      <c r="U285" s="3">
        <f t="shared" si="65"/>
        <v>-4327654.4586415039</v>
      </c>
      <c r="V285" s="3">
        <f t="shared" si="66"/>
        <v>272135.30796656926</v>
      </c>
      <c r="W285" s="3">
        <f t="shared" si="67"/>
        <v>-30980.591030184562</v>
      </c>
      <c r="X285" s="3">
        <f t="shared" si="68"/>
        <v>2514.4478249271306</v>
      </c>
      <c r="Y285" s="3">
        <f t="shared" si="69"/>
        <v>4332159.7608402763</v>
      </c>
      <c r="Z285" s="3">
        <f t="shared" si="70"/>
        <v>-263377.80619549728</v>
      </c>
      <c r="AA285" s="3">
        <f t="shared" si="71"/>
        <v>4340158.5296207825</v>
      </c>
      <c r="AB285" s="3">
        <f t="shared" si="72"/>
        <v>4292159.7608402763</v>
      </c>
      <c r="AC285" s="3">
        <f t="shared" si="73"/>
        <v>-260877.80619549728</v>
      </c>
      <c r="AD285" s="3">
        <f t="shared" si="74"/>
        <v>4300080.5390529409</v>
      </c>
      <c r="AE285" s="3">
        <f t="shared" si="75"/>
        <v>4307159.7608402763</v>
      </c>
      <c r="AF285" s="3">
        <f t="shared" si="79"/>
        <v>-285877.80619549728</v>
      </c>
      <c r="AG285" s="3">
        <f t="shared" si="76"/>
        <v>4316636.5755616734</v>
      </c>
      <c r="AH285" s="3">
        <f t="shared" si="77"/>
        <v>6.547817414208329E-2</v>
      </c>
      <c r="AI285" s="3">
        <f t="shared" si="78"/>
        <v>-4.1370168669223927E-3</v>
      </c>
    </row>
    <row r="286" spans="19:35" x14ac:dyDescent="0.3">
      <c r="S286" s="6">
        <v>269</v>
      </c>
      <c r="T286" s="4">
        <f t="shared" si="64"/>
        <v>134.5</v>
      </c>
      <c r="U286" s="3">
        <f t="shared" si="65"/>
        <v>-4343144.7377870521</v>
      </c>
      <c r="V286" s="3">
        <f t="shared" si="66"/>
        <v>273392.53084477864</v>
      </c>
      <c r="W286" s="3">
        <f t="shared" si="67"/>
        <v>-30971.784215762451</v>
      </c>
      <c r="X286" s="3">
        <f t="shared" si="68"/>
        <v>2513.8913961585295</v>
      </c>
      <c r="Y286" s="3">
        <f t="shared" si="69"/>
        <v>4347654.4586415039</v>
      </c>
      <c r="Z286" s="3">
        <f t="shared" si="70"/>
        <v>-264635.30796656926</v>
      </c>
      <c r="AA286" s="3">
        <f t="shared" si="71"/>
        <v>4355700.9927183837</v>
      </c>
      <c r="AB286" s="3">
        <f t="shared" si="72"/>
        <v>4307654.4586415039</v>
      </c>
      <c r="AC286" s="3">
        <f t="shared" si="73"/>
        <v>-262135.30796656926</v>
      </c>
      <c r="AD286" s="3">
        <f t="shared" si="74"/>
        <v>4315622.9972898178</v>
      </c>
      <c r="AE286" s="3">
        <f t="shared" si="75"/>
        <v>4322654.4586415039</v>
      </c>
      <c r="AF286" s="3">
        <f t="shared" si="79"/>
        <v>-287135.30796656926</v>
      </c>
      <c r="AG286" s="3">
        <f t="shared" si="76"/>
        <v>4332180.5426245024</v>
      </c>
      <c r="AH286" s="3">
        <f t="shared" si="77"/>
        <v>6.5009713204571717E-2</v>
      </c>
      <c r="AI286" s="3">
        <f t="shared" si="78"/>
        <v>-4.1115965163353186E-3</v>
      </c>
    </row>
    <row r="287" spans="19:35" x14ac:dyDescent="0.3">
      <c r="S287" s="6">
        <v>270</v>
      </c>
      <c r="T287" s="4">
        <f t="shared" si="64"/>
        <v>135</v>
      </c>
      <c r="U287" s="3">
        <f t="shared" si="65"/>
        <v>-4358630.6136425054</v>
      </c>
      <c r="V287" s="3">
        <f t="shared" si="66"/>
        <v>274649.47551495873</v>
      </c>
      <c r="W287" s="3">
        <f t="shared" si="67"/>
        <v>-30963.007904479833</v>
      </c>
      <c r="X287" s="3">
        <f t="shared" si="68"/>
        <v>2513.3363306288243</v>
      </c>
      <c r="Y287" s="3">
        <f t="shared" si="69"/>
        <v>4363144.7377870521</v>
      </c>
      <c r="Z287" s="3">
        <f t="shared" si="70"/>
        <v>-265892.53084477864</v>
      </c>
      <c r="AA287" s="3">
        <f t="shared" si="71"/>
        <v>4371239.0509829</v>
      </c>
      <c r="AB287" s="3">
        <f t="shared" si="72"/>
        <v>4323144.7377870521</v>
      </c>
      <c r="AC287" s="3">
        <f t="shared" si="73"/>
        <v>-263392.53084477864</v>
      </c>
      <c r="AD287" s="3">
        <f t="shared" si="74"/>
        <v>4331161.0509378081</v>
      </c>
      <c r="AE287" s="3">
        <f t="shared" si="75"/>
        <v>4338144.7377870521</v>
      </c>
      <c r="AF287" s="3">
        <f t="shared" si="79"/>
        <v>-288392.53084477864</v>
      </c>
      <c r="AG287" s="3">
        <f t="shared" si="76"/>
        <v>4347720.0942375008</v>
      </c>
      <c r="AH287" s="3">
        <f t="shared" si="77"/>
        <v>6.454639220027894E-2</v>
      </c>
      <c r="AI287" s="3">
        <f t="shared" si="78"/>
        <v>-4.0864118249297095E-3</v>
      </c>
    </row>
    <row r="288" spans="19:35" x14ac:dyDescent="0.3">
      <c r="S288" s="6">
        <v>271</v>
      </c>
      <c r="T288" s="4">
        <f t="shared" si="64"/>
        <v>135.5</v>
      </c>
      <c r="U288" s="3">
        <f t="shared" si="65"/>
        <v>-4374112.1014581472</v>
      </c>
      <c r="V288" s="3">
        <f t="shared" si="66"/>
        <v>275906.1426586702</v>
      </c>
      <c r="W288" s="3">
        <f t="shared" si="67"/>
        <v>-30954.261868336696</v>
      </c>
      <c r="X288" s="3">
        <f t="shared" si="68"/>
        <v>2512.7826218265463</v>
      </c>
      <c r="Y288" s="3">
        <f t="shared" si="69"/>
        <v>4378630.6136425054</v>
      </c>
      <c r="Z288" s="3">
        <f t="shared" si="70"/>
        <v>-267149.47551495873</v>
      </c>
      <c r="AA288" s="3">
        <f t="shared" si="71"/>
        <v>4386772.7195508163</v>
      </c>
      <c r="AB288" s="3">
        <f t="shared" si="72"/>
        <v>4338630.6136425054</v>
      </c>
      <c r="AC288" s="3">
        <f t="shared" si="73"/>
        <v>-264649.47551495873</v>
      </c>
      <c r="AD288" s="3">
        <f t="shared" si="74"/>
        <v>4346694.7151285289</v>
      </c>
      <c r="AE288" s="3">
        <f t="shared" si="75"/>
        <v>4353630.6136425054</v>
      </c>
      <c r="AF288" s="3">
        <f t="shared" si="79"/>
        <v>-289649.47551495873</v>
      </c>
      <c r="AG288" s="3">
        <f t="shared" si="76"/>
        <v>4363255.2456521848</v>
      </c>
      <c r="AH288" s="3">
        <f t="shared" si="77"/>
        <v>6.4088135353434064E-2</v>
      </c>
      <c r="AI288" s="3">
        <f t="shared" si="78"/>
        <v>-4.0614599310164305E-3</v>
      </c>
    </row>
    <row r="289" spans="19:35" x14ac:dyDescent="0.3">
      <c r="S289" s="6">
        <v>272</v>
      </c>
      <c r="T289" s="4">
        <f t="shared" si="64"/>
        <v>136</v>
      </c>
      <c r="U289" s="3">
        <f t="shared" si="65"/>
        <v>-4389589.2163702818</v>
      </c>
      <c r="V289" s="3">
        <f t="shared" si="66"/>
        <v>277162.53295421845</v>
      </c>
      <c r="W289" s="3">
        <f t="shared" si="67"/>
        <v>-30945.545881928629</v>
      </c>
      <c r="X289" s="3">
        <f t="shared" si="68"/>
        <v>2512.2302632759283</v>
      </c>
      <c r="Y289" s="3">
        <f t="shared" si="69"/>
        <v>4394112.1014581472</v>
      </c>
      <c r="Z289" s="3">
        <f t="shared" si="70"/>
        <v>-268406.1426586702</v>
      </c>
      <c r="AA289" s="3">
        <f t="shared" si="71"/>
        <v>4402302.0134468107</v>
      </c>
      <c r="AB289" s="3">
        <f t="shared" si="72"/>
        <v>4354112.1014581472</v>
      </c>
      <c r="AC289" s="3">
        <f t="shared" si="73"/>
        <v>-265906.1426586702</v>
      </c>
      <c r="AD289" s="3">
        <f t="shared" si="74"/>
        <v>4362224.0048819017</v>
      </c>
      <c r="AE289" s="3">
        <f t="shared" si="75"/>
        <v>4369112.1014581472</v>
      </c>
      <c r="AF289" s="3">
        <f t="shared" si="79"/>
        <v>-290906.1426586702</v>
      </c>
      <c r="AG289" s="3">
        <f t="shared" si="76"/>
        <v>4378786.0120065901</v>
      </c>
      <c r="AH289" s="3">
        <f t="shared" si="77"/>
        <v>6.3634868288467525E-2</v>
      </c>
      <c r="AI289" s="3">
        <f t="shared" si="78"/>
        <v>-4.0367380148159712E-3</v>
      </c>
    </row>
    <row r="290" spans="19:35" x14ac:dyDescent="0.3">
      <c r="S290" s="6">
        <v>273</v>
      </c>
      <c r="T290" s="4">
        <f t="shared" si="64"/>
        <v>136.5</v>
      </c>
      <c r="U290" s="3">
        <f t="shared" si="65"/>
        <v>-4405061.973402529</v>
      </c>
      <c r="V290" s="3">
        <f t="shared" si="66"/>
        <v>278418.64707667188</v>
      </c>
      <c r="W290" s="3">
        <f t="shared" si="67"/>
        <v>-30936.859722407255</v>
      </c>
      <c r="X290" s="3">
        <f t="shared" si="68"/>
        <v>2511.679248536906</v>
      </c>
      <c r="Y290" s="3">
        <f t="shared" si="69"/>
        <v>4409589.2163702818</v>
      </c>
      <c r="Z290" s="3">
        <f t="shared" si="70"/>
        <v>-269662.53295421845</v>
      </c>
      <c r="AA290" s="3">
        <f t="shared" si="71"/>
        <v>4417826.9475850184</v>
      </c>
      <c r="AB290" s="3">
        <f t="shared" si="72"/>
        <v>4369589.2163702818</v>
      </c>
      <c r="AC290" s="3">
        <f t="shared" si="73"/>
        <v>-267162.53295421845</v>
      </c>
      <c r="AD290" s="3">
        <f t="shared" si="74"/>
        <v>4377748.9351073997</v>
      </c>
      <c r="AE290" s="3">
        <f t="shared" si="75"/>
        <v>4384589.2163702818</v>
      </c>
      <c r="AF290" s="3">
        <f t="shared" si="79"/>
        <v>-292162.53295421845</v>
      </c>
      <c r="AG290" s="3">
        <f t="shared" si="76"/>
        <v>4394312.4083265616</v>
      </c>
      <c r="AH290" s="3">
        <f t="shared" si="77"/>
        <v>6.3186517998951752E-2</v>
      </c>
      <c r="AI290" s="3">
        <f t="shared" si="78"/>
        <v>-4.012243297765913E-3</v>
      </c>
    </row>
    <row r="291" spans="19:35" x14ac:dyDescent="0.3">
      <c r="S291" s="6">
        <v>274</v>
      </c>
      <c r="T291" s="4">
        <f t="shared" si="64"/>
        <v>137</v>
      </c>
      <c r="U291" s="3">
        <f t="shared" si="65"/>
        <v>-4420530.3874671031</v>
      </c>
      <c r="V291" s="3">
        <f t="shared" si="66"/>
        <v>279674.48569787951</v>
      </c>
      <c r="W291" s="3">
        <f t="shared" si="67"/>
        <v>-30928.2031694414</v>
      </c>
      <c r="X291" s="3">
        <f t="shared" si="68"/>
        <v>2511.1295712051119</v>
      </c>
      <c r="Y291" s="3">
        <f t="shared" si="69"/>
        <v>4425061.973402529</v>
      </c>
      <c r="Z291" s="3">
        <f t="shared" si="70"/>
        <v>-270918.64707667188</v>
      </c>
      <c r="AA291" s="3">
        <f t="shared" si="71"/>
        <v>4433347.5367702609</v>
      </c>
      <c r="AB291" s="3">
        <f t="shared" si="72"/>
        <v>4385061.973402529</v>
      </c>
      <c r="AC291" s="3">
        <f t="shared" si="73"/>
        <v>-268418.64707667188</v>
      </c>
      <c r="AD291" s="3">
        <f t="shared" si="74"/>
        <v>4393269.520605281</v>
      </c>
      <c r="AE291" s="3">
        <f t="shared" si="75"/>
        <v>4400061.973402529</v>
      </c>
      <c r="AF291" s="3">
        <f t="shared" si="79"/>
        <v>-293418.64707667188</v>
      </c>
      <c r="AG291" s="3">
        <f t="shared" si="76"/>
        <v>4409834.4495270187</v>
      </c>
      <c r="AH291" s="3">
        <f t="shared" si="77"/>
        <v>6.2743012817342986E-2</v>
      </c>
      <c r="AI291" s="3">
        <f t="shared" si="78"/>
        <v>-3.9879730418401855E-3</v>
      </c>
    </row>
    <row r="292" spans="19:35" x14ac:dyDescent="0.3">
      <c r="S292" s="6">
        <v>275</v>
      </c>
      <c r="T292" s="4">
        <f t="shared" si="64"/>
        <v>137.5</v>
      </c>
      <c r="U292" s="3">
        <f t="shared" si="65"/>
        <v>-4435994.4733660705</v>
      </c>
      <c r="V292" s="3">
        <f t="shared" si="66"/>
        <v>280930.0494864888</v>
      </c>
      <c r="W292" s="3">
        <f t="shared" si="67"/>
        <v>-30919.576005179017</v>
      </c>
      <c r="X292" s="3">
        <f t="shared" si="68"/>
        <v>2510.581224911859</v>
      </c>
      <c r="Y292" s="3">
        <f t="shared" si="69"/>
        <v>4440530.3874671031</v>
      </c>
      <c r="Z292" s="3">
        <f t="shared" si="70"/>
        <v>-272174.48569787951</v>
      </c>
      <c r="AA292" s="3">
        <f t="shared" si="71"/>
        <v>4448863.7956992621</v>
      </c>
      <c r="AB292" s="3">
        <f t="shared" si="72"/>
        <v>4400530.3874671031</v>
      </c>
      <c r="AC292" s="3">
        <f t="shared" si="73"/>
        <v>-269674.48569787951</v>
      </c>
      <c r="AD292" s="3">
        <f t="shared" si="74"/>
        <v>4408785.7760678036</v>
      </c>
      <c r="AE292" s="3">
        <f t="shared" si="75"/>
        <v>4415530.3874671031</v>
      </c>
      <c r="AF292" s="3">
        <f t="shared" si="79"/>
        <v>-294674.48569787951</v>
      </c>
      <c r="AG292" s="3">
        <f t="shared" si="76"/>
        <v>4425352.1504131956</v>
      </c>
      <c r="AH292" s="3">
        <f t="shared" si="77"/>
        <v>6.2304282385505186E-2</v>
      </c>
      <c r="AI292" s="3">
        <f t="shared" si="78"/>
        <v>-3.9639245488802335E-3</v>
      </c>
    </row>
    <row r="293" spans="19:35" x14ac:dyDescent="0.3">
      <c r="S293" s="6">
        <v>276</v>
      </c>
      <c r="T293" s="4">
        <f t="shared" si="64"/>
        <v>138</v>
      </c>
      <c r="U293" s="3">
        <f t="shared" si="65"/>
        <v>-4451454.2457925901</v>
      </c>
      <c r="V293" s="3">
        <f t="shared" si="66"/>
        <v>282185.33910796361</v>
      </c>
      <c r="W293" s="3">
        <f t="shared" si="67"/>
        <v>-30910.978014209817</v>
      </c>
      <c r="X293" s="3">
        <f t="shared" si="68"/>
        <v>2510.0342033241136</v>
      </c>
      <c r="Y293" s="3">
        <f t="shared" si="69"/>
        <v>4455994.4733660705</v>
      </c>
      <c r="Z293" s="3">
        <f t="shared" si="70"/>
        <v>-273430.0494864888</v>
      </c>
      <c r="AA293" s="3">
        <f t="shared" si="71"/>
        <v>4464375.7389618484</v>
      </c>
      <c r="AB293" s="3">
        <f t="shared" si="72"/>
        <v>4415994.4733660705</v>
      </c>
      <c r="AC293" s="3">
        <f t="shared" si="73"/>
        <v>-270930.0494864888</v>
      </c>
      <c r="AD293" s="3">
        <f t="shared" si="74"/>
        <v>4424297.7160804207</v>
      </c>
      <c r="AE293" s="3">
        <f t="shared" si="75"/>
        <v>4430994.4733660705</v>
      </c>
      <c r="AF293" s="3">
        <f t="shared" si="79"/>
        <v>-295930.0494864888</v>
      </c>
      <c r="AG293" s="3">
        <f t="shared" si="76"/>
        <v>4440865.5256818729</v>
      </c>
      <c r="AH293" s="3">
        <f t="shared" si="77"/>
        <v>6.1870257625988107E-2</v>
      </c>
      <c r="AI293" s="3">
        <f t="shared" si="78"/>
        <v>-3.9400951599375825E-3</v>
      </c>
    </row>
    <row r="294" spans="19:35" x14ac:dyDescent="0.3">
      <c r="S294" s="6">
        <v>277</v>
      </c>
      <c r="T294" s="4">
        <f t="shared" si="64"/>
        <v>138.5</v>
      </c>
      <c r="U294" s="3">
        <f t="shared" si="65"/>
        <v>-4466909.7193321306</v>
      </c>
      <c r="V294" s="3">
        <f t="shared" si="66"/>
        <v>283440.35522460187</v>
      </c>
      <c r="W294" s="3">
        <f t="shared" si="67"/>
        <v>-30902.408983528618</v>
      </c>
      <c r="X294" s="3">
        <f t="shared" si="68"/>
        <v>2509.4885001444623</v>
      </c>
      <c r="Y294" s="3">
        <f t="shared" si="69"/>
        <v>4471454.2457925901</v>
      </c>
      <c r="Z294" s="3">
        <f t="shared" si="70"/>
        <v>-274685.33910796361</v>
      </c>
      <c r="AA294" s="3">
        <f t="shared" si="71"/>
        <v>4479883.3810421266</v>
      </c>
      <c r="AB294" s="3">
        <f t="shared" si="72"/>
        <v>4431454.2457925901</v>
      </c>
      <c r="AC294" s="3">
        <f t="shared" si="73"/>
        <v>-272185.33910796361</v>
      </c>
      <c r="AD294" s="3">
        <f t="shared" si="74"/>
        <v>4439805.3551229574</v>
      </c>
      <c r="AE294" s="3">
        <f t="shared" si="75"/>
        <v>4446454.2457925901</v>
      </c>
      <c r="AF294" s="3">
        <f t="shared" si="79"/>
        <v>-297185.33910796361</v>
      </c>
      <c r="AG294" s="3">
        <f t="shared" si="76"/>
        <v>4456374.5899225827</v>
      </c>
      <c r="AH294" s="3">
        <f t="shared" si="77"/>
        <v>6.1440870714041446E-2</v>
      </c>
      <c r="AI294" s="3">
        <f t="shared" si="78"/>
        <v>-3.9164822546279027E-3</v>
      </c>
    </row>
    <row r="295" spans="19:35" x14ac:dyDescent="0.3">
      <c r="S295" s="6">
        <v>278</v>
      </c>
      <c r="T295" s="4">
        <f t="shared" si="64"/>
        <v>139</v>
      </c>
      <c r="U295" s="3">
        <f t="shared" si="65"/>
        <v>-4482360.9084636774</v>
      </c>
      <c r="V295" s="3">
        <f t="shared" si="66"/>
        <v>284695.09849555354</v>
      </c>
      <c r="W295" s="3">
        <f t="shared" si="67"/>
        <v>-30893.868702499367</v>
      </c>
      <c r="X295" s="3">
        <f t="shared" si="68"/>
        <v>2508.9441091110689</v>
      </c>
      <c r="Y295" s="3">
        <f t="shared" si="69"/>
        <v>4486909.7193321306</v>
      </c>
      <c r="Z295" s="3">
        <f t="shared" si="70"/>
        <v>-275940.35522460187</v>
      </c>
      <c r="AA295" s="3">
        <f t="shared" si="71"/>
        <v>4495386.7363196481</v>
      </c>
      <c r="AB295" s="3">
        <f t="shared" si="72"/>
        <v>4446909.7193321306</v>
      </c>
      <c r="AC295" s="3">
        <f t="shared" si="73"/>
        <v>-273440.35522460187</v>
      </c>
      <c r="AD295" s="3">
        <f t="shared" si="74"/>
        <v>4455308.7075707698</v>
      </c>
      <c r="AE295" s="3">
        <f t="shared" si="75"/>
        <v>4461909.7193321306</v>
      </c>
      <c r="AF295" s="3">
        <f t="shared" si="79"/>
        <v>-298440.35522460187</v>
      </c>
      <c r="AG295" s="3">
        <f t="shared" si="76"/>
        <v>4471879.3576187985</v>
      </c>
      <c r="AH295" s="3">
        <f t="shared" si="77"/>
        <v>6.1016055050340377E-2</v>
      </c>
      <c r="AI295" s="3">
        <f t="shared" si="78"/>
        <v>-3.8930832504961675E-3</v>
      </c>
    </row>
    <row r="296" spans="19:35" x14ac:dyDescent="0.3">
      <c r="S296" s="6">
        <v>279</v>
      </c>
      <c r="T296" s="4">
        <f t="shared" si="64"/>
        <v>139.5</v>
      </c>
      <c r="U296" s="3">
        <f t="shared" si="65"/>
        <v>-4497807.8275609128</v>
      </c>
      <c r="V296" s="3">
        <f t="shared" si="66"/>
        <v>285949.56957683829</v>
      </c>
      <c r="W296" s="3">
        <f t="shared" si="67"/>
        <v>-30885.356962819846</v>
      </c>
      <c r="X296" s="3">
        <f t="shared" si="68"/>
        <v>2508.4010239976246</v>
      </c>
      <c r="Y296" s="3">
        <f t="shared" si="69"/>
        <v>4502360.9084636774</v>
      </c>
      <c r="Z296" s="3">
        <f t="shared" si="70"/>
        <v>-277195.09849555354</v>
      </c>
      <c r="AA296" s="3">
        <f t="shared" si="71"/>
        <v>4510885.8190705553</v>
      </c>
      <c r="AB296" s="3">
        <f t="shared" si="72"/>
        <v>4462360.9084636774</v>
      </c>
      <c r="AC296" s="3">
        <f t="shared" si="73"/>
        <v>-274695.09849555354</v>
      </c>
      <c r="AD296" s="3">
        <f t="shared" si="74"/>
        <v>4470807.787695894</v>
      </c>
      <c r="AE296" s="3">
        <f t="shared" si="75"/>
        <v>4477360.9084636774</v>
      </c>
      <c r="AF296" s="3">
        <f t="shared" si="79"/>
        <v>-299695.09849555354</v>
      </c>
      <c r="AG296" s="3">
        <f t="shared" si="76"/>
        <v>4487379.8431491116</v>
      </c>
      <c r="AH296" s="3">
        <f t="shared" si="77"/>
        <v>6.0595745234404655E-2</v>
      </c>
      <c r="AI296" s="3">
        <f t="shared" si="78"/>
        <v>-3.8698956023929289E-3</v>
      </c>
    </row>
    <row r="297" spans="19:35" x14ac:dyDescent="0.3">
      <c r="S297" s="6">
        <v>280</v>
      </c>
      <c r="T297" s="4">
        <f t="shared" si="64"/>
        <v>140</v>
      </c>
      <c r="U297" s="3">
        <f t="shared" si="65"/>
        <v>-4513250.4908933863</v>
      </c>
      <c r="V297" s="3">
        <f t="shared" si="66"/>
        <v>287203.76912136318</v>
      </c>
      <c r="W297" s="3">
        <f t="shared" si="67"/>
        <v>-30876.87355848703</v>
      </c>
      <c r="X297" s="3">
        <f t="shared" si="68"/>
        <v>2507.8592386132896</v>
      </c>
      <c r="Y297" s="3">
        <f t="shared" si="69"/>
        <v>4517807.8275609128</v>
      </c>
      <c r="Z297" s="3">
        <f t="shared" si="70"/>
        <v>-278449.56957683829</v>
      </c>
      <c r="AA297" s="3">
        <f t="shared" si="71"/>
        <v>4526380.6434687069</v>
      </c>
      <c r="AB297" s="3">
        <f t="shared" si="72"/>
        <v>4477807.8275609128</v>
      </c>
      <c r="AC297" s="3">
        <f t="shared" si="73"/>
        <v>-275949.56957683829</v>
      </c>
      <c r="AD297" s="3">
        <f t="shared" si="74"/>
        <v>4486302.6096681692</v>
      </c>
      <c r="AE297" s="3">
        <f t="shared" si="75"/>
        <v>4492807.8275609128</v>
      </c>
      <c r="AF297" s="3">
        <f t="shared" si="79"/>
        <v>-300949.56957683829</v>
      </c>
      <c r="AG297" s="3">
        <f t="shared" si="76"/>
        <v>4502876.0607883818</v>
      </c>
      <c r="AH297" s="3">
        <f t="shared" si="77"/>
        <v>6.0179877038690016E-2</v>
      </c>
      <c r="AI297" s="3">
        <f t="shared" si="78"/>
        <v>-3.8469168018614545E-3</v>
      </c>
    </row>
    <row r="298" spans="19:35" x14ac:dyDescent="0.3">
      <c r="S298" s="6">
        <v>281</v>
      </c>
      <c r="T298" s="4">
        <f t="shared" si="64"/>
        <v>140.5</v>
      </c>
      <c r="U298" s="3">
        <f t="shared" si="65"/>
        <v>-4528688.9126276607</v>
      </c>
      <c r="V298" s="3">
        <f t="shared" si="66"/>
        <v>288457.69777894061</v>
      </c>
      <c r="W298" s="3">
        <f t="shared" si="67"/>
        <v>-30868.418285763095</v>
      </c>
      <c r="X298" s="3">
        <f t="shared" si="68"/>
        <v>2507.3187468026281</v>
      </c>
      <c r="Y298" s="3">
        <f t="shared" si="69"/>
        <v>4533250.4908933863</v>
      </c>
      <c r="Z298" s="3">
        <f t="shared" si="70"/>
        <v>-279703.76912136318</v>
      </c>
      <c r="AA298" s="3">
        <f t="shared" si="71"/>
        <v>4541871.2235867968</v>
      </c>
      <c r="AB298" s="3">
        <f t="shared" si="72"/>
        <v>4493250.4908933863</v>
      </c>
      <c r="AC298" s="3">
        <f t="shared" si="73"/>
        <v>-277203.76912136318</v>
      </c>
      <c r="AD298" s="3">
        <f t="shared" si="74"/>
        <v>4501793.1875563478</v>
      </c>
      <c r="AE298" s="3">
        <f t="shared" si="75"/>
        <v>4508250.4908933863</v>
      </c>
      <c r="AF298" s="3">
        <f t="shared" si="79"/>
        <v>-302203.76912136318</v>
      </c>
      <c r="AG298" s="3">
        <f t="shared" si="76"/>
        <v>4518368.0247088782</v>
      </c>
      <c r="AH298" s="3">
        <f t="shared" si="77"/>
        <v>5.9768387383330353E-2</v>
      </c>
      <c r="AI298" s="3">
        <f t="shared" si="78"/>
        <v>-3.8241443765354168E-3</v>
      </c>
    </row>
    <row r="299" spans="19:35" x14ac:dyDescent="0.3">
      <c r="S299" s="6">
        <v>282</v>
      </c>
      <c r="T299" s="4">
        <f t="shared" si="64"/>
        <v>141</v>
      </c>
      <c r="U299" s="3">
        <f t="shared" si="65"/>
        <v>-4544123.1068284456</v>
      </c>
      <c r="V299" s="3">
        <f t="shared" si="66"/>
        <v>289711.35619630583</v>
      </c>
      <c r="W299" s="3">
        <f t="shared" si="67"/>
        <v>-30859.990943142046</v>
      </c>
      <c r="X299" s="3">
        <f t="shared" si="68"/>
        <v>2506.7795424455367</v>
      </c>
      <c r="Y299" s="3">
        <f t="shared" si="69"/>
        <v>4548688.9126276607</v>
      </c>
      <c r="Z299" s="3">
        <f t="shared" si="70"/>
        <v>-280957.69777894061</v>
      </c>
      <c r="AA299" s="3">
        <f t="shared" si="71"/>
        <v>4557357.5733974455</v>
      </c>
      <c r="AB299" s="3">
        <f t="shared" si="72"/>
        <v>4508688.9126276607</v>
      </c>
      <c r="AC299" s="3">
        <f t="shared" si="73"/>
        <v>-278457.69777894061</v>
      </c>
      <c r="AD299" s="3">
        <f t="shared" si="74"/>
        <v>4517279.5353291947</v>
      </c>
      <c r="AE299" s="3">
        <f t="shared" si="75"/>
        <v>4523688.9126276607</v>
      </c>
      <c r="AF299" s="3">
        <f t="shared" si="79"/>
        <v>-303457.69777894061</v>
      </c>
      <c r="AG299" s="3">
        <f t="shared" si="76"/>
        <v>4533855.7489814032</v>
      </c>
      <c r="AH299" s="3">
        <f t="shared" si="77"/>
        <v>5.9361214311516024E-2</v>
      </c>
      <c r="AI299" s="3">
        <f t="shared" si="78"/>
        <v>-3.8015758895472195E-3</v>
      </c>
    </row>
    <row r="300" spans="19:35" x14ac:dyDescent="0.3">
      <c r="S300" s="6">
        <v>283</v>
      </c>
      <c r="T300" s="4">
        <f t="shared" si="64"/>
        <v>141.5</v>
      </c>
      <c r="U300" s="3">
        <f t="shared" si="65"/>
        <v>-4559553.0874597123</v>
      </c>
      <c r="V300" s="3">
        <f t="shared" si="66"/>
        <v>290964.74501713464</v>
      </c>
      <c r="W300" s="3">
        <f t="shared" si="67"/>
        <v>-30851.591331316966</v>
      </c>
      <c r="X300" s="3">
        <f t="shared" si="68"/>
        <v>2506.2416194571656</v>
      </c>
      <c r="Y300" s="3">
        <f t="shared" si="69"/>
        <v>4564123.1068284456</v>
      </c>
      <c r="Z300" s="3">
        <f t="shared" si="70"/>
        <v>-282211.35619630583</v>
      </c>
      <c r="AA300" s="3">
        <f t="shared" si="71"/>
        <v>4572839.7067742823</v>
      </c>
      <c r="AB300" s="3">
        <f t="shared" si="72"/>
        <v>4524123.1068284456</v>
      </c>
      <c r="AC300" s="3">
        <f t="shared" si="73"/>
        <v>-279711.35619630583</v>
      </c>
      <c r="AD300" s="3">
        <f t="shared" si="74"/>
        <v>4532761.6668565581</v>
      </c>
      <c r="AE300" s="3">
        <f t="shared" si="75"/>
        <v>4539123.1068284456</v>
      </c>
      <c r="AF300" s="3">
        <f t="shared" si="79"/>
        <v>-304711.35619630583</v>
      </c>
      <c r="AG300" s="3">
        <f t="shared" si="76"/>
        <v>4549339.2475763904</v>
      </c>
      <c r="AH300" s="3">
        <f t="shared" si="77"/>
        <v>5.8958296965487447E-2</v>
      </c>
      <c r="AI300" s="3">
        <f t="shared" si="78"/>
        <v>-3.7792089389466228E-3</v>
      </c>
    </row>
    <row r="301" spans="19:35" x14ac:dyDescent="0.3">
      <c r="S301" s="6">
        <v>284</v>
      </c>
      <c r="T301" s="4">
        <f t="shared" si="64"/>
        <v>142</v>
      </c>
      <c r="U301" s="3">
        <f t="shared" si="65"/>
        <v>-4574978.8683857964</v>
      </c>
      <c r="V301" s="3">
        <f t="shared" si="66"/>
        <v>292217.86488206097</v>
      </c>
      <c r="W301" s="3">
        <f t="shared" si="67"/>
        <v>-30843.219253147865</v>
      </c>
      <c r="X301" s="3">
        <f t="shared" si="68"/>
        <v>2505.7049717878353</v>
      </c>
      <c r="Y301" s="3">
        <f t="shared" si="69"/>
        <v>4579553.0874597123</v>
      </c>
      <c r="Z301" s="3">
        <f t="shared" si="70"/>
        <v>-283464.74501713464</v>
      </c>
      <c r="AA301" s="3">
        <f t="shared" si="71"/>
        <v>4588317.6374930078</v>
      </c>
      <c r="AB301" s="3">
        <f t="shared" si="72"/>
        <v>4539553.0874597123</v>
      </c>
      <c r="AC301" s="3">
        <f t="shared" si="73"/>
        <v>-280964.74501713464</v>
      </c>
      <c r="AD301" s="3">
        <f t="shared" si="74"/>
        <v>4548239.5959104383</v>
      </c>
      <c r="AE301" s="3">
        <f t="shared" si="75"/>
        <v>4554553.0874597123</v>
      </c>
      <c r="AF301" s="3">
        <f t="shared" si="79"/>
        <v>-305964.74501713464</v>
      </c>
      <c r="AG301" s="3">
        <f t="shared" si="76"/>
        <v>4564818.5343649965</v>
      </c>
      <c r="AH301" s="3">
        <f t="shared" si="77"/>
        <v>5.8559575563125535E-2</v>
      </c>
      <c r="AI301" s="3">
        <f t="shared" si="78"/>
        <v>-3.7570411571294471E-3</v>
      </c>
    </row>
    <row r="302" spans="19:35" x14ac:dyDescent="0.3">
      <c r="S302" s="6">
        <v>285</v>
      </c>
      <c r="T302" s="4">
        <f t="shared" si="64"/>
        <v>142.5</v>
      </c>
      <c r="U302" s="3">
        <f t="shared" si="65"/>
        <v>-4590400.4633724764</v>
      </c>
      <c r="V302" s="3">
        <f t="shared" si="66"/>
        <v>293470.71642869461</v>
      </c>
      <c r="W302" s="3">
        <f t="shared" si="67"/>
        <v>-30834.874513630119</v>
      </c>
      <c r="X302" s="3">
        <f t="shared" si="68"/>
        <v>2505.1695934229442</v>
      </c>
      <c r="Y302" s="3">
        <f t="shared" si="69"/>
        <v>4594978.8683857964</v>
      </c>
      <c r="Z302" s="3">
        <f t="shared" si="70"/>
        <v>-284717.86488206097</v>
      </c>
      <c r="AA302" s="3">
        <f t="shared" si="71"/>
        <v>4603791.3792324495</v>
      </c>
      <c r="AB302" s="3">
        <f t="shared" si="72"/>
        <v>4554978.8683857964</v>
      </c>
      <c r="AC302" s="3">
        <f t="shared" si="73"/>
        <v>-282217.86488206097</v>
      </c>
      <c r="AD302" s="3">
        <f t="shared" si="74"/>
        <v>4563713.3361660372</v>
      </c>
      <c r="AE302" s="3">
        <f t="shared" si="75"/>
        <v>4569978.8683857964</v>
      </c>
      <c r="AF302" s="3">
        <f t="shared" si="79"/>
        <v>-307217.86488206097</v>
      </c>
      <c r="AG302" s="3">
        <f t="shared" si="76"/>
        <v>4580293.6231201831</v>
      </c>
      <c r="AH302" s="3">
        <f t="shared" si="77"/>
        <v>5.8164991375126499E-2</v>
      </c>
      <c r="AI302" s="3">
        <f t="shared" si="78"/>
        <v>-3.7350702102764612E-3</v>
      </c>
    </row>
    <row r="303" spans="19:35" x14ac:dyDescent="0.3">
      <c r="S303" s="6">
        <v>286</v>
      </c>
      <c r="T303" s="4">
        <f t="shared" si="64"/>
        <v>143</v>
      </c>
      <c r="U303" s="3">
        <f t="shared" si="65"/>
        <v>-4605817.8860880435</v>
      </c>
      <c r="V303" s="3">
        <f t="shared" si="66"/>
        <v>294723.30029163853</v>
      </c>
      <c r="W303" s="3">
        <f t="shared" si="67"/>
        <v>-30826.556919863477</v>
      </c>
      <c r="X303" s="3">
        <f t="shared" si="68"/>
        <v>2504.6354783828747</v>
      </c>
      <c r="Y303" s="3">
        <f t="shared" si="69"/>
        <v>4610400.4633724764</v>
      </c>
      <c r="Z303" s="3">
        <f t="shared" si="70"/>
        <v>-285970.71642869461</v>
      </c>
      <c r="AA303" s="3">
        <f t="shared" si="71"/>
        <v>4619260.9455755893</v>
      </c>
      <c r="AB303" s="3">
        <f t="shared" si="72"/>
        <v>4570400.4633724764</v>
      </c>
      <c r="AC303" s="3">
        <f t="shared" si="73"/>
        <v>-283470.71642869461</v>
      </c>
      <c r="AD303" s="3">
        <f t="shared" si="74"/>
        <v>4579182.9012027839</v>
      </c>
      <c r="AE303" s="3">
        <f t="shared" si="75"/>
        <v>4585400.4633724764</v>
      </c>
      <c r="AF303" s="3">
        <f t="shared" si="79"/>
        <v>-308470.71642869461</v>
      </c>
      <c r="AG303" s="3">
        <f t="shared" si="76"/>
        <v>4595764.5275177611</v>
      </c>
      <c r="AH303" s="3">
        <f t="shared" si="77"/>
        <v>5.7774486702738097E-2</v>
      </c>
      <c r="AI303" s="3">
        <f t="shared" si="78"/>
        <v>-3.7132937978018969E-3</v>
      </c>
    </row>
    <row r="304" spans="19:35" x14ac:dyDescent="0.3">
      <c r="S304" s="6">
        <v>287</v>
      </c>
      <c r="T304" s="4">
        <f t="shared" si="64"/>
        <v>143.5</v>
      </c>
      <c r="U304" s="3">
        <f t="shared" si="65"/>
        <v>-4621231.1501043532</v>
      </c>
      <c r="V304" s="3">
        <f t="shared" si="66"/>
        <v>295975.61710250657</v>
      </c>
      <c r="W304" s="3">
        <f t="shared" si="67"/>
        <v>-30818.266281021635</v>
      </c>
      <c r="X304" s="3">
        <f t="shared" si="68"/>
        <v>2504.1026207228902</v>
      </c>
      <c r="Y304" s="3">
        <f t="shared" si="69"/>
        <v>4625817.8860880435</v>
      </c>
      <c r="Z304" s="3">
        <f t="shared" si="70"/>
        <v>-287223.30029163853</v>
      </c>
      <c r="AA304" s="3">
        <f t="shared" si="71"/>
        <v>4634726.3500105888</v>
      </c>
      <c r="AB304" s="3">
        <f t="shared" si="72"/>
        <v>4585817.8860880435</v>
      </c>
      <c r="AC304" s="3">
        <f t="shared" si="73"/>
        <v>-284723.30029163853</v>
      </c>
      <c r="AD304" s="3">
        <f t="shared" si="74"/>
        <v>4594648.3045053594</v>
      </c>
      <c r="AE304" s="3">
        <f t="shared" si="75"/>
        <v>4600817.8860880435</v>
      </c>
      <c r="AF304" s="3">
        <f t="shared" si="79"/>
        <v>-309723.30029163853</v>
      </c>
      <c r="AG304" s="3">
        <f t="shared" si="76"/>
        <v>4611231.2611374408</v>
      </c>
      <c r="AH304" s="3">
        <f t="shared" si="77"/>
        <v>5.7388004856046115E-2</v>
      </c>
      <c r="AI304" s="3">
        <f t="shared" si="78"/>
        <v>-3.6917096518117127E-3</v>
      </c>
    </row>
    <row r="305" spans="19:35" x14ac:dyDescent="0.3">
      <c r="S305" s="6">
        <v>288</v>
      </c>
      <c r="T305" s="4">
        <f t="shared" si="64"/>
        <v>144</v>
      </c>
      <c r="U305" s="3">
        <f t="shared" si="65"/>
        <v>-4636640.2688978631</v>
      </c>
      <c r="V305" s="3">
        <f t="shared" si="66"/>
        <v>297227.66748994059</v>
      </c>
      <c r="W305" s="3">
        <f t="shared" si="67"/>
        <v>-30810.002408322365</v>
      </c>
      <c r="X305" s="3">
        <f t="shared" si="68"/>
        <v>2503.5710145330295</v>
      </c>
      <c r="Y305" s="3">
        <f t="shared" si="69"/>
        <v>4641231.1501043532</v>
      </c>
      <c r="Z305" s="3">
        <f t="shared" si="70"/>
        <v>-288475.61710250657</v>
      </c>
      <c r="AA305" s="3">
        <f t="shared" si="71"/>
        <v>4650187.6059317915</v>
      </c>
      <c r="AB305" s="3">
        <f t="shared" si="72"/>
        <v>4601231.1501043532</v>
      </c>
      <c r="AC305" s="3">
        <f t="shared" si="73"/>
        <v>-285975.61710250657</v>
      </c>
      <c r="AD305" s="3">
        <f t="shared" si="74"/>
        <v>4610109.5594646977</v>
      </c>
      <c r="AE305" s="3">
        <f t="shared" si="75"/>
        <v>4616231.1501043532</v>
      </c>
      <c r="AF305" s="3">
        <f t="shared" si="79"/>
        <v>-310975.61710250657</v>
      </c>
      <c r="AG305" s="3">
        <f t="shared" si="76"/>
        <v>4626693.8374638585</v>
      </c>
      <c r="AH305" s="3">
        <f t="shared" si="77"/>
        <v>5.700549013279485E-2</v>
      </c>
      <c r="AI305" s="3">
        <f t="shared" si="78"/>
        <v>-3.6703155365713901E-3</v>
      </c>
    </row>
    <row r="306" spans="19:35" x14ac:dyDescent="0.3">
      <c r="S306" s="6">
        <v>289</v>
      </c>
      <c r="T306" s="4">
        <f t="shared" si="64"/>
        <v>144.5</v>
      </c>
      <c r="U306" s="3">
        <f t="shared" si="65"/>
        <v>-4652045.2558506513</v>
      </c>
      <c r="V306" s="3">
        <f t="shared" si="66"/>
        <v>298479.45207962824</v>
      </c>
      <c r="W306" s="3">
        <f t="shared" si="67"/>
        <v>-30801.765114998176</v>
      </c>
      <c r="X306" s="3">
        <f t="shared" si="68"/>
        <v>2503.0406539379951</v>
      </c>
      <c r="Y306" s="3">
        <f t="shared" si="69"/>
        <v>4656640.2688978631</v>
      </c>
      <c r="Z306" s="3">
        <f t="shared" si="70"/>
        <v>-289727.66748994059</v>
      </c>
      <c r="AA306" s="3">
        <f t="shared" si="71"/>
        <v>4665644.7266407162</v>
      </c>
      <c r="AB306" s="3">
        <f t="shared" si="72"/>
        <v>4616640.2688978631</v>
      </c>
      <c r="AC306" s="3">
        <f t="shared" si="73"/>
        <v>-287227.66748994059</v>
      </c>
      <c r="AD306" s="3">
        <f t="shared" si="74"/>
        <v>4625566.6793789752</v>
      </c>
      <c r="AE306" s="3">
        <f t="shared" si="75"/>
        <v>4631640.2688978631</v>
      </c>
      <c r="AF306" s="3">
        <f t="shared" si="79"/>
        <v>-312227.66748994059</v>
      </c>
      <c r="AG306" s="3">
        <f t="shared" si="76"/>
        <v>4642152.2698875871</v>
      </c>
      <c r="AH306" s="3">
        <f t="shared" si="77"/>
        <v>5.6626887797725817E-2</v>
      </c>
      <c r="AI306" s="3">
        <f t="shared" si="78"/>
        <v>-3.6491092479830644E-3</v>
      </c>
    </row>
    <row r="307" spans="19:35" x14ac:dyDescent="0.3">
      <c r="S307" s="6">
        <v>290</v>
      </c>
      <c r="T307" s="4">
        <f t="shared" si="64"/>
        <v>145</v>
      </c>
      <c r="U307" s="3">
        <f t="shared" si="65"/>
        <v>-4667446.124251429</v>
      </c>
      <c r="V307" s="3">
        <f t="shared" si="66"/>
        <v>299730.97149431991</v>
      </c>
      <c r="W307" s="3">
        <f t="shared" si="67"/>
        <v>-30793.554216267505</v>
      </c>
      <c r="X307" s="3">
        <f t="shared" si="68"/>
        <v>2502.5115330970375</v>
      </c>
      <c r="Y307" s="3">
        <f t="shared" si="69"/>
        <v>4672045.2558506513</v>
      </c>
      <c r="Z307" s="3">
        <f t="shared" si="70"/>
        <v>-290979.45207962824</v>
      </c>
      <c r="AA307" s="3">
        <f t="shared" si="71"/>
        <v>4681097.72534703</v>
      </c>
      <c r="AB307" s="3">
        <f t="shared" si="72"/>
        <v>4632045.2558506513</v>
      </c>
      <c r="AC307" s="3">
        <f t="shared" si="73"/>
        <v>-288479.45207962824</v>
      </c>
      <c r="AD307" s="3">
        <f t="shared" si="74"/>
        <v>4641019.677454588</v>
      </c>
      <c r="AE307" s="3">
        <f t="shared" si="75"/>
        <v>4647045.2558506513</v>
      </c>
      <c r="AF307" s="3">
        <f t="shared" si="79"/>
        <v>-313479.45207962824</v>
      </c>
      <c r="AG307" s="3">
        <f t="shared" si="76"/>
        <v>4657606.5717061367</v>
      </c>
      <c r="AH307" s="3">
        <f t="shared" si="77"/>
        <v>5.6252144062418692E-2</v>
      </c>
      <c r="AI307" s="3">
        <f t="shared" si="78"/>
        <v>-3.6280886130717217E-3</v>
      </c>
    </row>
    <row r="308" spans="19:35" x14ac:dyDescent="0.3">
      <c r="S308" s="6">
        <v>291</v>
      </c>
      <c r="T308" s="4">
        <f t="shared" si="64"/>
        <v>145.5</v>
      </c>
      <c r="U308" s="3">
        <f t="shared" si="65"/>
        <v>-4682842.8872965267</v>
      </c>
      <c r="V308" s="3">
        <f t="shared" si="66"/>
        <v>300982.22635384626</v>
      </c>
      <c r="W308" s="3">
        <f t="shared" si="67"/>
        <v>-30785.369529306423</v>
      </c>
      <c r="X308" s="3">
        <f t="shared" si="68"/>
        <v>2501.9836462038356</v>
      </c>
      <c r="Y308" s="3">
        <f t="shared" si="69"/>
        <v>4687446.124251429</v>
      </c>
      <c r="Z308" s="3">
        <f t="shared" si="70"/>
        <v>-292230.97149431991</v>
      </c>
      <c r="AA308" s="3">
        <f t="shared" si="71"/>
        <v>4696546.6151695177</v>
      </c>
      <c r="AB308" s="3">
        <f t="shared" si="72"/>
        <v>4647446.124251429</v>
      </c>
      <c r="AC308" s="3">
        <f t="shared" si="73"/>
        <v>-289730.97149431991</v>
      </c>
      <c r="AD308" s="3">
        <f t="shared" si="74"/>
        <v>4656468.5668071108</v>
      </c>
      <c r="AE308" s="3">
        <f t="shared" si="75"/>
        <v>4662446.124251429</v>
      </c>
      <c r="AF308" s="3">
        <f t="shared" si="79"/>
        <v>-314730.97149431991</v>
      </c>
      <c r="AG308" s="3">
        <f t="shared" si="76"/>
        <v>4673056.7561249379</v>
      </c>
      <c r="AH308" s="3">
        <f t="shared" si="77"/>
        <v>5.5881206065624758E-2</v>
      </c>
      <c r="AI308" s="3">
        <f t="shared" si="78"/>
        <v>-3.6072514894805695E-3</v>
      </c>
    </row>
    <row r="309" spans="19:35" x14ac:dyDescent="0.3">
      <c r="S309" s="6">
        <v>292</v>
      </c>
      <c r="T309" s="4">
        <f t="shared" si="64"/>
        <v>146</v>
      </c>
      <c r="U309" s="3">
        <f t="shared" si="65"/>
        <v>-4698235.5580908787</v>
      </c>
      <c r="V309" s="3">
        <f t="shared" si="66"/>
        <v>302233.21727513534</v>
      </c>
      <c r="W309" s="3">
        <f t="shared" si="67"/>
        <v>-30777.210873220843</v>
      </c>
      <c r="X309" s="3">
        <f t="shared" si="68"/>
        <v>2501.4569874863714</v>
      </c>
      <c r="Y309" s="3">
        <f t="shared" si="69"/>
        <v>4702842.8872965267</v>
      </c>
      <c r="Z309" s="3">
        <f t="shared" si="70"/>
        <v>-293482.22635384626</v>
      </c>
      <c r="AA309" s="3">
        <f t="shared" si="71"/>
        <v>4711991.4091370264</v>
      </c>
      <c r="AB309" s="3">
        <f t="shared" si="72"/>
        <v>4662842.8872965267</v>
      </c>
      <c r="AC309" s="3">
        <f t="shared" si="73"/>
        <v>-290982.22635384626</v>
      </c>
      <c r="AD309" s="3">
        <f t="shared" si="74"/>
        <v>4671913.3604622474</v>
      </c>
      <c r="AE309" s="3">
        <f t="shared" si="75"/>
        <v>4677842.8872965267</v>
      </c>
      <c r="AF309" s="3">
        <f t="shared" si="79"/>
        <v>-315982.22635384626</v>
      </c>
      <c r="AG309" s="3">
        <f t="shared" si="76"/>
        <v>4688502.8362583127</v>
      </c>
      <c r="AH309" s="3">
        <f t="shared" si="77"/>
        <v>5.5514021854075141E-2</v>
      </c>
      <c r="AI309" s="3">
        <f t="shared" si="78"/>
        <v>-3.5865957649751984E-3</v>
      </c>
    </row>
    <row r="310" spans="19:35" x14ac:dyDescent="0.3">
      <c r="S310" s="6">
        <v>293</v>
      </c>
      <c r="T310" s="4">
        <f t="shared" si="64"/>
        <v>146.5</v>
      </c>
      <c r="U310" s="3">
        <f t="shared" si="65"/>
        <v>-4713624.149648983</v>
      </c>
      <c r="V310" s="3">
        <f t="shared" si="66"/>
        <v>303483.94487222953</v>
      </c>
      <c r="W310" s="3">
        <f t="shared" si="67"/>
        <v>-30769.078069019222</v>
      </c>
      <c r="X310" s="3">
        <f t="shared" si="68"/>
        <v>2500.9315512068024</v>
      </c>
      <c r="Y310" s="3">
        <f t="shared" si="69"/>
        <v>4718235.5580908787</v>
      </c>
      <c r="Z310" s="3">
        <f t="shared" si="70"/>
        <v>-294733.21727513534</v>
      </c>
      <c r="AA310" s="3">
        <f t="shared" si="71"/>
        <v>4727432.120189405</v>
      </c>
      <c r="AB310" s="3">
        <f t="shared" si="72"/>
        <v>4678235.5580908787</v>
      </c>
      <c r="AC310" s="3">
        <f t="shared" si="73"/>
        <v>-292233.21727513534</v>
      </c>
      <c r="AD310" s="3">
        <f t="shared" si="74"/>
        <v>4687354.0713567659</v>
      </c>
      <c r="AE310" s="3">
        <f t="shared" si="75"/>
        <v>4693235.5580908787</v>
      </c>
      <c r="AF310" s="3">
        <f t="shared" si="79"/>
        <v>-317233.21727513534</v>
      </c>
      <c r="AG310" s="3">
        <f t="shared" si="76"/>
        <v>4703944.8251304282</v>
      </c>
      <c r="AH310" s="3">
        <f t="shared" si="77"/>
        <v>5.5150540363752339E-2</v>
      </c>
      <c r="AI310" s="3">
        <f t="shared" si="78"/>
        <v>-3.5661193569564292E-3</v>
      </c>
    </row>
    <row r="311" spans="19:35" x14ac:dyDescent="0.3">
      <c r="S311" s="6">
        <v>294</v>
      </c>
      <c r="T311" s="4">
        <f t="shared" si="64"/>
        <v>147</v>
      </c>
      <c r="U311" s="3">
        <f t="shared" si="65"/>
        <v>-4729008.6748958584</v>
      </c>
      <c r="V311" s="3">
        <f t="shared" si="66"/>
        <v>304734.40975630312</v>
      </c>
      <c r="W311" s="3">
        <f t="shared" si="67"/>
        <v>-30760.97093958575</v>
      </c>
      <c r="X311" s="3">
        <f t="shared" si="68"/>
        <v>2500.4073316613299</v>
      </c>
      <c r="Y311" s="3">
        <f t="shared" si="69"/>
        <v>4733624.149648983</v>
      </c>
      <c r="Z311" s="3">
        <f t="shared" si="70"/>
        <v>-295983.94487222953</v>
      </c>
      <c r="AA311" s="3">
        <f t="shared" si="71"/>
        <v>4742868.7611784274</v>
      </c>
      <c r="AB311" s="3">
        <f t="shared" si="72"/>
        <v>4693624.149648983</v>
      </c>
      <c r="AC311" s="3">
        <f t="shared" si="73"/>
        <v>-293483.94487222953</v>
      </c>
      <c r="AD311" s="3">
        <f t="shared" si="74"/>
        <v>4702790.7123394199</v>
      </c>
      <c r="AE311" s="3">
        <f t="shared" si="75"/>
        <v>4708624.149648983</v>
      </c>
      <c r="AF311" s="3">
        <f t="shared" si="79"/>
        <v>-318483.94487222953</v>
      </c>
      <c r="AG311" s="3">
        <f t="shared" si="76"/>
        <v>4719382.7356762439</v>
      </c>
      <c r="AH311" s="3">
        <f t="shared" si="77"/>
        <v>5.4790711401611861E-2</v>
      </c>
      <c r="AI311" s="3">
        <f t="shared" si="78"/>
        <v>-3.5458202119817302E-3</v>
      </c>
    </row>
    <row r="312" spans="19:35" x14ac:dyDescent="0.3">
      <c r="S312" s="6">
        <v>295</v>
      </c>
      <c r="T312" s="4">
        <f t="shared" si="64"/>
        <v>147.5</v>
      </c>
      <c r="U312" s="3">
        <f t="shared" si="65"/>
        <v>-4744389.1466679731</v>
      </c>
      <c r="V312" s="3">
        <f t="shared" si="66"/>
        <v>305984.61253567872</v>
      </c>
      <c r="W312" s="3">
        <f t="shared" si="67"/>
        <v>-30752.889309654012</v>
      </c>
      <c r="X312" s="3">
        <f t="shared" si="68"/>
        <v>2499.8843231800624</v>
      </c>
      <c r="Y312" s="3">
        <f t="shared" si="69"/>
        <v>4749008.6748958584</v>
      </c>
      <c r="Z312" s="3">
        <f t="shared" si="70"/>
        <v>-297234.40975630312</v>
      </c>
      <c r="AA312" s="3">
        <f t="shared" si="71"/>
        <v>4758301.3448687019</v>
      </c>
      <c r="AB312" s="3">
        <f t="shared" si="72"/>
        <v>4709008.6748958584</v>
      </c>
      <c r="AC312" s="3">
        <f t="shared" si="73"/>
        <v>-294734.40975630312</v>
      </c>
      <c r="AD312" s="3">
        <f t="shared" si="74"/>
        <v>4718223.2961718589</v>
      </c>
      <c r="AE312" s="3">
        <f t="shared" si="75"/>
        <v>4724008.6748958584</v>
      </c>
      <c r="AF312" s="3">
        <f t="shared" si="79"/>
        <v>-319734.40975630312</v>
      </c>
      <c r="AG312" s="3">
        <f t="shared" si="76"/>
        <v>4734816.5807424402</v>
      </c>
      <c r="AH312" s="3">
        <f t="shared" si="77"/>
        <v>5.4434485627745083E-2</v>
      </c>
      <c r="AI312" s="3">
        <f t="shared" si="78"/>
        <v>-3.5256963052952284E-3</v>
      </c>
    </row>
    <row r="313" spans="19:35" x14ac:dyDescent="0.3">
      <c r="S313" s="6">
        <v>296</v>
      </c>
      <c r="T313" s="4">
        <f t="shared" si="64"/>
        <v>148</v>
      </c>
      <c r="U313" s="3">
        <f t="shared" si="65"/>
        <v>-4759765.5777141787</v>
      </c>
      <c r="V313" s="3">
        <f t="shared" si="66"/>
        <v>307234.5538158447</v>
      </c>
      <c r="W313" s="3">
        <f t="shared" si="67"/>
        <v>-30744.833005781107</v>
      </c>
      <c r="X313" s="3">
        <f t="shared" si="68"/>
        <v>2499.3625201268787</v>
      </c>
      <c r="Y313" s="3">
        <f t="shared" si="69"/>
        <v>4764389.1466679731</v>
      </c>
      <c r="Z313" s="3">
        <f t="shared" si="70"/>
        <v>-298484.61253567872</v>
      </c>
      <c r="AA313" s="3">
        <f t="shared" si="71"/>
        <v>4773729.8839385696</v>
      </c>
      <c r="AB313" s="3">
        <f t="shared" si="72"/>
        <v>4724389.1466679731</v>
      </c>
      <c r="AC313" s="3">
        <f t="shared" si="73"/>
        <v>-295984.61253567872</v>
      </c>
      <c r="AD313" s="3">
        <f t="shared" si="74"/>
        <v>4733651.8355295239</v>
      </c>
      <c r="AE313" s="3">
        <f t="shared" si="75"/>
        <v>4739389.1466679731</v>
      </c>
      <c r="AF313" s="3">
        <f t="shared" si="79"/>
        <v>-320984.61253567872</v>
      </c>
      <c r="AG313" s="3">
        <f t="shared" si="76"/>
        <v>4750246.3730883328</v>
      </c>
      <c r="AH313" s="3">
        <f t="shared" si="77"/>
        <v>5.4081814537961077E-2</v>
      </c>
      <c r="AI313" s="3">
        <f t="shared" si="78"/>
        <v>-3.5057456403655256E-3</v>
      </c>
    </row>
    <row r="314" spans="19:35" x14ac:dyDescent="0.3">
      <c r="S314" s="6">
        <v>297</v>
      </c>
      <c r="T314" s="4">
        <f t="shared" si="64"/>
        <v>148.5</v>
      </c>
      <c r="U314" s="3">
        <f t="shared" si="65"/>
        <v>-4775137.9806966148</v>
      </c>
      <c r="V314" s="3">
        <f t="shared" si="66"/>
        <v>308484.23419947171</v>
      </c>
      <c r="W314" s="3">
        <f t="shared" si="67"/>
        <v>-30736.801856322221</v>
      </c>
      <c r="X314" s="3">
        <f t="shared" si="68"/>
        <v>2498.8419168992846</v>
      </c>
      <c r="Y314" s="3">
        <f t="shared" si="69"/>
        <v>4779765.5777141787</v>
      </c>
      <c r="Z314" s="3">
        <f t="shared" si="70"/>
        <v>-299734.5538158447</v>
      </c>
      <c r="AA314" s="3">
        <f t="shared" si="71"/>
        <v>4789154.3909809943</v>
      </c>
      <c r="AB314" s="3">
        <f t="shared" si="72"/>
        <v>4739765.5777141787</v>
      </c>
      <c r="AC314" s="3">
        <f t="shared" si="73"/>
        <v>-297234.5538158447</v>
      </c>
      <c r="AD314" s="3">
        <f t="shared" si="74"/>
        <v>4749076.3430025345</v>
      </c>
      <c r="AE314" s="3">
        <f t="shared" si="75"/>
        <v>4754765.5777141787</v>
      </c>
      <c r="AF314" s="3">
        <f t="shared" si="79"/>
        <v>-322234.5538158447</v>
      </c>
      <c r="AG314" s="3">
        <f t="shared" si="76"/>
        <v>4765672.1253867801</v>
      </c>
      <c r="AH314" s="3">
        <f t="shared" si="77"/>
        <v>5.3732650446791291E-2</v>
      </c>
      <c r="AI314" s="3">
        <f t="shared" si="78"/>
        <v>-3.4859662484321811E-3</v>
      </c>
    </row>
    <row r="315" spans="19:35" x14ac:dyDescent="0.3">
      <c r="S315" s="6">
        <v>298</v>
      </c>
      <c r="T315" s="4">
        <f t="shared" si="64"/>
        <v>149</v>
      </c>
      <c r="U315" s="3">
        <f t="shared" si="65"/>
        <v>-4790506.3681916129</v>
      </c>
      <c r="V315" s="3">
        <f t="shared" si="66"/>
        <v>309733.65428642981</v>
      </c>
      <c r="W315" s="3">
        <f t="shared" si="67"/>
        <v>-30728.795691405649</v>
      </c>
      <c r="X315" s="3">
        <f t="shared" si="68"/>
        <v>2498.3225079282684</v>
      </c>
      <c r="Y315" s="3">
        <f t="shared" si="69"/>
        <v>4795137.9806966148</v>
      </c>
      <c r="Z315" s="3">
        <f t="shared" si="70"/>
        <v>-300984.23419947171</v>
      </c>
      <c r="AA315" s="3">
        <f t="shared" si="71"/>
        <v>4804574.878504429</v>
      </c>
      <c r="AB315" s="3">
        <f t="shared" si="72"/>
        <v>4755137.9806966148</v>
      </c>
      <c r="AC315" s="3">
        <f t="shared" si="73"/>
        <v>-298484.23419947171</v>
      </c>
      <c r="AD315" s="3">
        <f t="shared" si="74"/>
        <v>4764496.831096556</v>
      </c>
      <c r="AE315" s="3">
        <f t="shared" si="75"/>
        <v>4770137.9806966148</v>
      </c>
      <c r="AF315" s="3">
        <f t="shared" si="79"/>
        <v>-323484.23419947171</v>
      </c>
      <c r="AG315" s="3">
        <f t="shared" si="76"/>
        <v>4781093.8502250714</v>
      </c>
      <c r="AH315" s="3">
        <f t="shared" si="77"/>
        <v>5.3386946470891788E-2</v>
      </c>
      <c r="AI315" s="3">
        <f t="shared" si="78"/>
        <v>-3.4663561880597929E-3</v>
      </c>
    </row>
    <row r="316" spans="19:35" x14ac:dyDescent="0.3">
      <c r="S316" s="6">
        <v>299</v>
      </c>
      <c r="T316" s="4">
        <f t="shared" si="64"/>
        <v>149.5</v>
      </c>
      <c r="U316" s="3">
        <f t="shared" si="65"/>
        <v>-4805870.7526905797</v>
      </c>
      <c r="V316" s="3">
        <f t="shared" si="66"/>
        <v>310982.81467380491</v>
      </c>
      <c r="W316" s="3">
        <f t="shared" si="67"/>
        <v>-30720.814342908252</v>
      </c>
      <c r="X316" s="3">
        <f t="shared" si="68"/>
        <v>2497.8042876781533</v>
      </c>
      <c r="Y316" s="3">
        <f t="shared" si="69"/>
        <v>4810506.3681916129</v>
      </c>
      <c r="Z316" s="3">
        <f t="shared" si="70"/>
        <v>-302233.65428642981</v>
      </c>
      <c r="AA316" s="3">
        <f t="shared" si="71"/>
        <v>4819991.3589336853</v>
      </c>
      <c r="AB316" s="3">
        <f t="shared" si="72"/>
        <v>4770506.3681916129</v>
      </c>
      <c r="AC316" s="3">
        <f t="shared" si="73"/>
        <v>-299733.65428642981</v>
      </c>
      <c r="AD316" s="3">
        <f t="shared" si="74"/>
        <v>4779913.3122336678</v>
      </c>
      <c r="AE316" s="3">
        <f t="shared" si="75"/>
        <v>4785506.3681916129</v>
      </c>
      <c r="AF316" s="3">
        <f t="shared" si="79"/>
        <v>-324733.65428642981</v>
      </c>
      <c r="AG316" s="3">
        <f t="shared" si="76"/>
        <v>4796511.5601058127</v>
      </c>
      <c r="AH316" s="3">
        <f t="shared" si="77"/>
        <v>5.3044656512839031E-2</v>
      </c>
      <c r="AI316" s="3">
        <f t="shared" si="78"/>
        <v>-3.4469135446999911E-3</v>
      </c>
    </row>
    <row r="317" spans="19:35" x14ac:dyDescent="0.3">
      <c r="S317" s="6">
        <v>300</v>
      </c>
      <c r="T317" s="4">
        <f t="shared" si="64"/>
        <v>150</v>
      </c>
      <c r="U317" s="3">
        <f t="shared" si="65"/>
        <v>-4821231.1466008695</v>
      </c>
      <c r="V317" s="3">
        <f t="shared" si="66"/>
        <v>312231.71595591557</v>
      </c>
      <c r="W317" s="3">
        <f t="shared" si="67"/>
        <v>-30712.857644431326</v>
      </c>
      <c r="X317" s="3">
        <f t="shared" si="68"/>
        <v>2497.2872506464482</v>
      </c>
      <c r="Y317" s="3">
        <f t="shared" si="69"/>
        <v>4825870.7526905797</v>
      </c>
      <c r="Z317" s="3">
        <f t="shared" si="70"/>
        <v>-303482.81467380491</v>
      </c>
      <c r="AA317" s="3">
        <f t="shared" si="71"/>
        <v>4835403.8446107768</v>
      </c>
      <c r="AB317" s="3">
        <f t="shared" si="72"/>
        <v>4785870.7526905797</v>
      </c>
      <c r="AC317" s="3">
        <f t="shared" si="73"/>
        <v>-300982.81467380491</v>
      </c>
      <c r="AD317" s="3">
        <f t="shared" si="74"/>
        <v>4795325.7987532048</v>
      </c>
      <c r="AE317" s="3">
        <f t="shared" si="75"/>
        <v>4800870.7526905797</v>
      </c>
      <c r="AF317" s="3">
        <f t="shared" si="79"/>
        <v>-325982.81467380491</v>
      </c>
      <c r="AG317" s="3">
        <f t="shared" si="76"/>
        <v>4811925.2674477883</v>
      </c>
      <c r="AH317" s="3">
        <f t="shared" si="77"/>
        <v>5.2705735245309568E-2</v>
      </c>
      <c r="AI317" s="3">
        <f t="shared" si="78"/>
        <v>-3.4276364302612671E-3</v>
      </c>
    </row>
    <row r="318" spans="19:35" x14ac:dyDescent="0.3">
      <c r="S318" s="6">
        <v>301</v>
      </c>
      <c r="T318" s="4">
        <f t="shared" si="64"/>
        <v>150.5</v>
      </c>
      <c r="U318" s="3">
        <f t="shared" si="65"/>
        <v>-4836587.5622466514</v>
      </c>
      <c r="V318" s="3">
        <f t="shared" si="66"/>
        <v>313480.35872432974</v>
      </c>
      <c r="W318" s="3">
        <f t="shared" si="67"/>
        <v>-30704.925431276908</v>
      </c>
      <c r="X318" s="3">
        <f t="shared" si="68"/>
        <v>2496.771391363694</v>
      </c>
      <c r="Y318" s="3">
        <f t="shared" si="69"/>
        <v>4841231.1466008695</v>
      </c>
      <c r="Z318" s="3">
        <f t="shared" si="70"/>
        <v>-304731.71595591557</v>
      </c>
      <c r="AA318" s="3">
        <f t="shared" si="71"/>
        <v>4850812.3477957593</v>
      </c>
      <c r="AB318" s="3">
        <f t="shared" si="72"/>
        <v>4801231.1466008695</v>
      </c>
      <c r="AC318" s="3">
        <f t="shared" si="73"/>
        <v>-302231.71595591557</v>
      </c>
      <c r="AD318" s="3">
        <f t="shared" si="74"/>
        <v>4810734.3029125975</v>
      </c>
      <c r="AE318" s="3">
        <f t="shared" si="75"/>
        <v>4816231.1466008695</v>
      </c>
      <c r="AF318" s="3">
        <f t="shared" si="79"/>
        <v>-327231.71595591557</v>
      </c>
      <c r="AG318" s="3">
        <f t="shared" si="76"/>
        <v>4827334.9845868144</v>
      </c>
      <c r="AH318" s="3">
        <f t="shared" si="77"/>
        <v>5.2370138095626621E-2</v>
      </c>
      <c r="AI318" s="3">
        <f t="shared" si="78"/>
        <v>-3.4085229826860651E-3</v>
      </c>
    </row>
    <row r="319" spans="19:35" x14ac:dyDescent="0.3">
      <c r="S319" s="6">
        <v>302</v>
      </c>
      <c r="T319" s="4">
        <f t="shared" si="64"/>
        <v>151</v>
      </c>
      <c r="U319" s="3">
        <f t="shared" si="65"/>
        <v>-4851940.0118697556</v>
      </c>
      <c r="V319" s="3">
        <f t="shared" si="66"/>
        <v>314728.74356788083</v>
      </c>
      <c r="W319" s="3">
        <f t="shared" si="67"/>
        <v>-30697.017540424469</v>
      </c>
      <c r="X319" s="3">
        <f t="shared" si="68"/>
        <v>2496.2567043933082</v>
      </c>
      <c r="Y319" s="3">
        <f t="shared" si="69"/>
        <v>4856587.5622466514</v>
      </c>
      <c r="Z319" s="3">
        <f t="shared" si="70"/>
        <v>-305980.35872432974</v>
      </c>
      <c r="AA319" s="3">
        <f t="shared" si="71"/>
        <v>4866216.8806675626</v>
      </c>
      <c r="AB319" s="3">
        <f t="shared" si="72"/>
        <v>4816587.5622466514</v>
      </c>
      <c r="AC319" s="3">
        <f t="shared" si="73"/>
        <v>-303480.35872432974</v>
      </c>
      <c r="AD319" s="3">
        <f t="shared" si="74"/>
        <v>4826138.8368882006</v>
      </c>
      <c r="AE319" s="3">
        <f t="shared" si="75"/>
        <v>4831587.5622466514</v>
      </c>
      <c r="AF319" s="3">
        <f t="shared" si="79"/>
        <v>-328480.35872432974</v>
      </c>
      <c r="AG319" s="3">
        <f t="shared" si="76"/>
        <v>4842740.7237765891</v>
      </c>
      <c r="AH319" s="3">
        <f t="shared" si="77"/>
        <v>5.2037821230674339E-2</v>
      </c>
      <c r="AI319" s="3">
        <f t="shared" si="78"/>
        <v>-3.3895713655356773E-3</v>
      </c>
    </row>
    <row r="320" spans="19:35" x14ac:dyDescent="0.3">
      <c r="S320" s="6">
        <v>303</v>
      </c>
      <c r="T320" s="4">
        <f t="shared" si="64"/>
        <v>151.5</v>
      </c>
      <c r="U320" s="3">
        <f t="shared" si="65"/>
        <v>-4867288.507630513</v>
      </c>
      <c r="V320" s="3">
        <f t="shared" si="66"/>
        <v>315976.87107268465</v>
      </c>
      <c r="W320" s="3">
        <f t="shared" si="67"/>
        <v>-30689.133810508021</v>
      </c>
      <c r="X320" s="3">
        <f t="shared" si="68"/>
        <v>2495.7431843314293</v>
      </c>
      <c r="Y320" s="3">
        <f t="shared" si="69"/>
        <v>4871940.0118697556</v>
      </c>
      <c r="Z320" s="3">
        <f t="shared" si="70"/>
        <v>-307228.74356788083</v>
      </c>
      <c r="AA320" s="3">
        <f t="shared" si="71"/>
        <v>4881617.4553247998</v>
      </c>
      <c r="AB320" s="3">
        <f t="shared" si="72"/>
        <v>4831940.0118697556</v>
      </c>
      <c r="AC320" s="3">
        <f t="shared" si="73"/>
        <v>-304728.74356788083</v>
      </c>
      <c r="AD320" s="3">
        <f t="shared" si="74"/>
        <v>4841539.4127761014</v>
      </c>
      <c r="AE320" s="3">
        <f t="shared" si="75"/>
        <v>4846940.0118697556</v>
      </c>
      <c r="AF320" s="3">
        <f t="shared" si="79"/>
        <v>-329728.74356788083</v>
      </c>
      <c r="AG320" s="3">
        <f t="shared" si="76"/>
        <v>4858142.4971895209</v>
      </c>
      <c r="AH320" s="3">
        <f t="shared" si="77"/>
        <v>5.1708741542157377E-2</v>
      </c>
      <c r="AI320" s="3">
        <f t="shared" si="78"/>
        <v>-3.3707797675820183E-3</v>
      </c>
    </row>
    <row r="321" spans="19:35" x14ac:dyDescent="0.3">
      <c r="S321" s="6">
        <v>304</v>
      </c>
      <c r="T321" s="4">
        <f t="shared" si="64"/>
        <v>152</v>
      </c>
      <c r="U321" s="3">
        <f t="shared" si="65"/>
        <v>-4882633.0616085809</v>
      </c>
      <c r="V321" s="3">
        <f t="shared" si="66"/>
        <v>317224.74182215543</v>
      </c>
      <c r="W321" s="3">
        <f t="shared" si="67"/>
        <v>-30681.274081793614</v>
      </c>
      <c r="X321" s="3">
        <f t="shared" si="68"/>
        <v>2495.2308258067569</v>
      </c>
      <c r="Y321" s="3">
        <f t="shared" si="69"/>
        <v>4887288.507630513</v>
      </c>
      <c r="Z321" s="3">
        <f t="shared" si="70"/>
        <v>-308476.87107268465</v>
      </c>
      <c r="AA321" s="3">
        <f t="shared" si="71"/>
        <v>4897014.0837865761</v>
      </c>
      <c r="AB321" s="3">
        <f t="shared" si="72"/>
        <v>4847288.507630513</v>
      </c>
      <c r="AC321" s="3">
        <f t="shared" si="73"/>
        <v>-305976.87107268465</v>
      </c>
      <c r="AD321" s="3">
        <f t="shared" si="74"/>
        <v>4856936.0425929306</v>
      </c>
      <c r="AE321" s="3">
        <f t="shared" si="75"/>
        <v>4862288.507630513</v>
      </c>
      <c r="AF321" s="3">
        <f t="shared" si="79"/>
        <v>-330976.87107268465</v>
      </c>
      <c r="AG321" s="3">
        <f t="shared" si="76"/>
        <v>4873540.3169175517</v>
      </c>
      <c r="AH321" s="3">
        <f t="shared" si="77"/>
        <v>5.1382856632207652E-2</v>
      </c>
      <c r="AI321" s="3">
        <f t="shared" si="78"/>
        <v>-3.3521464024068438E-3</v>
      </c>
    </row>
    <row r="322" spans="19:35" x14ac:dyDescent="0.3">
      <c r="S322" s="6">
        <v>305</v>
      </c>
      <c r="T322" s="4">
        <f t="shared" si="64"/>
        <v>152.5</v>
      </c>
      <c r="U322" s="3">
        <f t="shared" si="65"/>
        <v>-4897973.6858037626</v>
      </c>
      <c r="V322" s="3">
        <f t="shared" si="66"/>
        <v>318472.3563970222</v>
      </c>
      <c r="W322" s="3">
        <f t="shared" si="67"/>
        <v>-30673.438196157203</v>
      </c>
      <c r="X322" s="3">
        <f t="shared" si="68"/>
        <v>2494.7196234803901</v>
      </c>
      <c r="Y322" s="3">
        <f t="shared" si="69"/>
        <v>4902633.0616085809</v>
      </c>
      <c r="Z322" s="3">
        <f t="shared" si="70"/>
        <v>-309724.74182215543</v>
      </c>
      <c r="AA322" s="3">
        <f t="shared" si="71"/>
        <v>4912406.7779932814</v>
      </c>
      <c r="AB322" s="3">
        <f t="shared" si="72"/>
        <v>4862633.0616085809</v>
      </c>
      <c r="AC322" s="3">
        <f t="shared" si="73"/>
        <v>-307224.74182215543</v>
      </c>
      <c r="AD322" s="3">
        <f t="shared" si="74"/>
        <v>4872328.7382766502</v>
      </c>
      <c r="AE322" s="3">
        <f t="shared" si="75"/>
        <v>4877633.0616085809</v>
      </c>
      <c r="AF322" s="3">
        <f t="shared" si="79"/>
        <v>-332224.74182215543</v>
      </c>
      <c r="AG322" s="3">
        <f t="shared" si="76"/>
        <v>4888934.1949729593</v>
      </c>
      <c r="AH322" s="3">
        <f t="shared" si="77"/>
        <v>5.1060124799322461E-2</v>
      </c>
      <c r="AI322" s="3">
        <f t="shared" si="78"/>
        <v>-3.3336695080078789E-3</v>
      </c>
    </row>
    <row r="323" spans="19:35" x14ac:dyDescent="0.3">
      <c r="S323" s="6">
        <v>306</v>
      </c>
      <c r="T323" s="4">
        <f t="shared" si="64"/>
        <v>153</v>
      </c>
      <c r="U323" s="3">
        <f t="shared" si="65"/>
        <v>-4913310.3921368103</v>
      </c>
      <c r="V323" s="3">
        <f t="shared" si="66"/>
        <v>319719.71537534497</v>
      </c>
      <c r="W323" s="3">
        <f t="shared" si="67"/>
        <v>-30665.625997062907</v>
      </c>
      <c r="X323" s="3">
        <f t="shared" si="68"/>
        <v>2494.209572045665</v>
      </c>
      <c r="Y323" s="3">
        <f t="shared" si="69"/>
        <v>4917973.6858037626</v>
      </c>
      <c r="Z323" s="3">
        <f t="shared" si="70"/>
        <v>-310972.3563970222</v>
      </c>
      <c r="AA323" s="3">
        <f t="shared" si="71"/>
        <v>4927795.5498073744</v>
      </c>
      <c r="AB323" s="3">
        <f t="shared" si="72"/>
        <v>4877973.6858037626</v>
      </c>
      <c r="AC323" s="3">
        <f t="shared" si="73"/>
        <v>-308472.3563970222</v>
      </c>
      <c r="AD323" s="3">
        <f t="shared" si="74"/>
        <v>4887717.5116873393</v>
      </c>
      <c r="AE323" s="3">
        <f t="shared" si="75"/>
        <v>4892973.6858037626</v>
      </c>
      <c r="AF323" s="3">
        <f t="shared" si="79"/>
        <v>-333472.3563970222</v>
      </c>
      <c r="AG323" s="3">
        <f t="shared" si="76"/>
        <v>4904324.1432891693</v>
      </c>
      <c r="AH323" s="3">
        <f t="shared" si="77"/>
        <v>5.0740505024627555E-2</v>
      </c>
      <c r="AI323" s="3">
        <f t="shared" si="78"/>
        <v>-3.3153473464118417E-3</v>
      </c>
    </row>
    <row r="324" spans="19:35" x14ac:dyDescent="0.3">
      <c r="S324" s="6">
        <v>307</v>
      </c>
      <c r="T324" s="4">
        <f t="shared" si="64"/>
        <v>153.5</v>
      </c>
      <c r="U324" s="3">
        <f t="shared" si="65"/>
        <v>-4928643.1924502151</v>
      </c>
      <c r="V324" s="3">
        <f t="shared" si="66"/>
        <v>320966.81933253101</v>
      </c>
      <c r="W324" s="3">
        <f t="shared" si="67"/>
        <v>-30657.837329541628</v>
      </c>
      <c r="X324" s="3">
        <f t="shared" si="68"/>
        <v>2493.700666227991</v>
      </c>
      <c r="Y324" s="3">
        <f t="shared" si="69"/>
        <v>4933310.3921368103</v>
      </c>
      <c r="Z324" s="3">
        <f t="shared" si="70"/>
        <v>-312219.71537534497</v>
      </c>
      <c r="AA324" s="3">
        <f t="shared" si="71"/>
        <v>4943180.4110141592</v>
      </c>
      <c r="AB324" s="3">
        <f t="shared" si="72"/>
        <v>4893310.3921368103</v>
      </c>
      <c r="AC324" s="3">
        <f t="shared" si="73"/>
        <v>-309719.71537534497</v>
      </c>
      <c r="AD324" s="3">
        <f t="shared" si="74"/>
        <v>4903102.3746079672</v>
      </c>
      <c r="AE324" s="3">
        <f t="shared" si="75"/>
        <v>4908310.3921368103</v>
      </c>
      <c r="AF324" s="3">
        <f t="shared" si="79"/>
        <v>-334719.71537534497</v>
      </c>
      <c r="AG324" s="3">
        <f t="shared" si="76"/>
        <v>4919710.1737215333</v>
      </c>
      <c r="AH324" s="3">
        <f t="shared" si="77"/>
        <v>5.0423956958456265E-2</v>
      </c>
      <c r="AI324" s="3">
        <f t="shared" si="78"/>
        <v>-3.2971782032942673E-3</v>
      </c>
    </row>
    <row r="325" spans="19:35" x14ac:dyDescent="0.3">
      <c r="S325" s="6">
        <v>308</v>
      </c>
      <c r="T325" s="4">
        <f t="shared" si="64"/>
        <v>154</v>
      </c>
      <c r="U325" s="3">
        <f t="shared" si="65"/>
        <v>-4943972.0985089969</v>
      </c>
      <c r="V325" s="3">
        <f t="shared" si="66"/>
        <v>322213.66884135042</v>
      </c>
      <c r="W325" s="3">
        <f t="shared" si="67"/>
        <v>-30650.072040170024</v>
      </c>
      <c r="X325" s="3">
        <f t="shared" si="68"/>
        <v>2493.1929007846838</v>
      </c>
      <c r="Y325" s="3">
        <f t="shared" si="69"/>
        <v>4948643.1924502151</v>
      </c>
      <c r="Z325" s="3">
        <f t="shared" si="70"/>
        <v>-313466.81933253101</v>
      </c>
      <c r="AA325" s="3">
        <f t="shared" si="71"/>
        <v>4958561.373322539</v>
      </c>
      <c r="AB325" s="3">
        <f t="shared" si="72"/>
        <v>4908643.1924502151</v>
      </c>
      <c r="AC325" s="3">
        <f t="shared" si="73"/>
        <v>-310966.81933253101</v>
      </c>
      <c r="AD325" s="3">
        <f t="shared" si="74"/>
        <v>4918483.3387451489</v>
      </c>
      <c r="AE325" s="3">
        <f t="shared" si="75"/>
        <v>4923643.1924502151</v>
      </c>
      <c r="AF325" s="3">
        <f t="shared" si="79"/>
        <v>-335966.81933253101</v>
      </c>
      <c r="AG325" s="3">
        <f t="shared" si="76"/>
        <v>4935092.2980481088</v>
      </c>
      <c r="AH325" s="3">
        <f t="shared" si="77"/>
        <v>5.0110440907236292E-2</v>
      </c>
      <c r="AI325" s="3">
        <f t="shared" si="78"/>
        <v>-3.2791603876059653E-3</v>
      </c>
    </row>
    <row r="326" spans="19:35" x14ac:dyDescent="0.3">
      <c r="S326" s="6">
        <v>309</v>
      </c>
      <c r="T326" s="4">
        <f t="shared" si="64"/>
        <v>154.5</v>
      </c>
      <c r="U326" s="3">
        <f t="shared" si="65"/>
        <v>-4959297.1220014719</v>
      </c>
      <c r="V326" s="3">
        <f t="shared" si="66"/>
        <v>323460.26447195263</v>
      </c>
      <c r="W326" s="3">
        <f t="shared" si="67"/>
        <v>-30642.329977049856</v>
      </c>
      <c r="X326" s="3">
        <f t="shared" si="68"/>
        <v>2492.6862705047988</v>
      </c>
      <c r="Y326" s="3">
        <f t="shared" si="69"/>
        <v>4963972.0985089969</v>
      </c>
      <c r="Z326" s="3">
        <f t="shared" si="70"/>
        <v>-314713.66884135042</v>
      </c>
      <c r="AA326" s="3">
        <f t="shared" si="71"/>
        <v>4973938.4483657815</v>
      </c>
      <c r="AB326" s="3">
        <f t="shared" si="72"/>
        <v>4923972.0985089969</v>
      </c>
      <c r="AC326" s="3">
        <f t="shared" si="73"/>
        <v>-312213.66884135042</v>
      </c>
      <c r="AD326" s="3">
        <f t="shared" si="74"/>
        <v>4933860.4157299045</v>
      </c>
      <c r="AE326" s="3">
        <f t="shared" si="75"/>
        <v>4938972.0985089969</v>
      </c>
      <c r="AF326" s="3">
        <f t="shared" si="79"/>
        <v>-337213.66884135042</v>
      </c>
      <c r="AG326" s="3">
        <f t="shared" si="76"/>
        <v>4950470.5279704276</v>
      </c>
      <c r="AH326" s="3">
        <f t="shared" si="77"/>
        <v>4.9799917820676484E-2</v>
      </c>
      <c r="AI326" s="3">
        <f t="shared" si="78"/>
        <v>-3.2612922312060177E-3</v>
      </c>
    </row>
    <row r="327" spans="19:35" x14ac:dyDescent="0.3">
      <c r="S327" s="6">
        <v>310</v>
      </c>
      <c r="T327" s="4">
        <f t="shared" si="64"/>
        <v>155</v>
      </c>
      <c r="U327" s="3">
        <f t="shared" si="65"/>
        <v>-4974618.2745400174</v>
      </c>
      <c r="V327" s="3">
        <f t="shared" si="66"/>
        <v>324706.60679188202</v>
      </c>
      <c r="W327" s="3">
        <f t="shared" si="67"/>
        <v>-30634.610989787652</v>
      </c>
      <c r="X327" s="3">
        <f t="shared" si="68"/>
        <v>2492.1807702089618</v>
      </c>
      <c r="Y327" s="3">
        <f t="shared" si="69"/>
        <v>4979297.1220014719</v>
      </c>
      <c r="Z327" s="3">
        <f t="shared" si="70"/>
        <v>-315960.26447195263</v>
      </c>
      <c r="AA327" s="3">
        <f t="shared" si="71"/>
        <v>4989311.6477022488</v>
      </c>
      <c r="AB327" s="3">
        <f t="shared" si="72"/>
        <v>4939297.1220014719</v>
      </c>
      <c r="AC327" s="3">
        <f t="shared" si="73"/>
        <v>-313460.26447195263</v>
      </c>
      <c r="AD327" s="3">
        <f t="shared" si="74"/>
        <v>4949233.6171183968</v>
      </c>
      <c r="AE327" s="3">
        <f t="shared" si="75"/>
        <v>4954297.1220014719</v>
      </c>
      <c r="AF327" s="3">
        <f t="shared" si="79"/>
        <v>-338460.26447195263</v>
      </c>
      <c r="AG327" s="3">
        <f t="shared" si="76"/>
        <v>4965844.8751142528</v>
      </c>
      <c r="AH327" s="3">
        <f t="shared" si="77"/>
        <v>4.9492349279244008E-2</v>
      </c>
      <c r="AI327" s="3">
        <f t="shared" si="78"/>
        <v>-3.2435720885011119E-3</v>
      </c>
    </row>
    <row r="328" spans="19:35" x14ac:dyDescent="0.3">
      <c r="S328" s="6">
        <v>311</v>
      </c>
      <c r="T328" s="4">
        <f t="shared" si="64"/>
        <v>155.5</v>
      </c>
      <c r="U328" s="3">
        <f t="shared" si="65"/>
        <v>-4989935.5676618246</v>
      </c>
      <c r="V328" s="3">
        <f t="shared" si="66"/>
        <v>325952.69636609347</v>
      </c>
      <c r="W328" s="3">
        <f t="shared" si="67"/>
        <v>-30626.914929474729</v>
      </c>
      <c r="X328" s="3">
        <f t="shared" si="68"/>
        <v>2491.6763947492</v>
      </c>
      <c r="Y328" s="3">
        <f t="shared" si="69"/>
        <v>4994618.2745400174</v>
      </c>
      <c r="Z328" s="3">
        <f t="shared" si="70"/>
        <v>-317206.60679188202</v>
      </c>
      <c r="AA328" s="3">
        <f t="shared" si="71"/>
        <v>5004680.9828161392</v>
      </c>
      <c r="AB328" s="3">
        <f t="shared" si="72"/>
        <v>4954618.2745400174</v>
      </c>
      <c r="AC328" s="3">
        <f t="shared" si="73"/>
        <v>-314706.60679188202</v>
      </c>
      <c r="AD328" s="3">
        <f t="shared" si="74"/>
        <v>4964602.9543926632</v>
      </c>
      <c r="AE328" s="3">
        <f t="shared" si="75"/>
        <v>4969618.2745400174</v>
      </c>
      <c r="AF328" s="3">
        <f t="shared" si="79"/>
        <v>-339706.60679188202</v>
      </c>
      <c r="AG328" s="3">
        <f t="shared" si="76"/>
        <v>4981215.3510303237</v>
      </c>
      <c r="AH328" s="3">
        <f t="shared" si="77"/>
        <v>4.9187697481928291E-2</v>
      </c>
      <c r="AI328" s="3">
        <f t="shared" si="78"/>
        <v>-3.2259983360913087E-3</v>
      </c>
    </row>
    <row r="329" spans="19:35" x14ac:dyDescent="0.3">
      <c r="S329" s="6">
        <v>312</v>
      </c>
      <c r="T329" s="4">
        <f t="shared" si="64"/>
        <v>156</v>
      </c>
      <c r="U329" s="3">
        <f t="shared" si="65"/>
        <v>-5005249.0128296381</v>
      </c>
      <c r="V329" s="3">
        <f t="shared" si="66"/>
        <v>327198.53375696851</v>
      </c>
      <c r="W329" s="3">
        <f t="shared" si="67"/>
        <v>-30619.24164866755</v>
      </c>
      <c r="X329" s="3">
        <f t="shared" si="68"/>
        <v>2491.1731390087698</v>
      </c>
      <c r="Y329" s="3">
        <f t="shared" si="69"/>
        <v>5009935.5676618246</v>
      </c>
      <c r="Z329" s="3">
        <f t="shared" si="70"/>
        <v>-318452.69636609347</v>
      </c>
      <c r="AA329" s="3">
        <f t="shared" si="71"/>
        <v>5020046.4651182108</v>
      </c>
      <c r="AB329" s="3">
        <f t="shared" si="72"/>
        <v>4969935.5676618246</v>
      </c>
      <c r="AC329" s="3">
        <f t="shared" si="73"/>
        <v>-315952.69636609347</v>
      </c>
      <c r="AD329" s="3">
        <f t="shared" si="74"/>
        <v>4979968.438961342</v>
      </c>
      <c r="AE329" s="3">
        <f t="shared" si="75"/>
        <v>4984935.5676618246</v>
      </c>
      <c r="AF329" s="3">
        <f t="shared" si="79"/>
        <v>-340952.69636609347</v>
      </c>
      <c r="AG329" s="3">
        <f t="shared" si="76"/>
        <v>4996581.9671950974</v>
      </c>
      <c r="AH329" s="3">
        <f t="shared" si="77"/>
        <v>4.8885925234280182E-2</v>
      </c>
      <c r="AI329" s="3">
        <f t="shared" si="78"/>
        <v>-3.2085693724218812E-3</v>
      </c>
    </row>
    <row r="330" spans="19:35" x14ac:dyDescent="0.3">
      <c r="S330" s="6">
        <v>313</v>
      </c>
      <c r="T330" s="4">
        <f t="shared" si="64"/>
        <v>156.5</v>
      </c>
      <c r="U330" s="3">
        <f t="shared" si="65"/>
        <v>-5020558.6214324906</v>
      </c>
      <c r="V330" s="3">
        <f t="shared" si="66"/>
        <v>328444.11952433054</v>
      </c>
      <c r="W330" s="3">
        <f t="shared" si="67"/>
        <v>-30611.591001368386</v>
      </c>
      <c r="X330" s="3">
        <f t="shared" si="68"/>
        <v>2490.6709979019856</v>
      </c>
      <c r="Y330" s="3">
        <f t="shared" si="69"/>
        <v>5025249.0128296381</v>
      </c>
      <c r="Z330" s="3">
        <f t="shared" si="70"/>
        <v>-319698.53375696851</v>
      </c>
      <c r="AA330" s="3">
        <f t="shared" si="71"/>
        <v>5035408.1059464896</v>
      </c>
      <c r="AB330" s="3">
        <f t="shared" si="72"/>
        <v>4985249.0128296381</v>
      </c>
      <c r="AC330" s="3">
        <f t="shared" si="73"/>
        <v>-317198.53375696851</v>
      </c>
      <c r="AD330" s="3">
        <f t="shared" si="74"/>
        <v>4995330.0821603825</v>
      </c>
      <c r="AE330" s="3">
        <f t="shared" si="75"/>
        <v>5000249.0128296381</v>
      </c>
      <c r="AF330" s="3">
        <f t="shared" si="79"/>
        <v>-342198.53375696851</v>
      </c>
      <c r="AG330" s="3">
        <f t="shared" si="76"/>
        <v>5011944.7350114696</v>
      </c>
      <c r="AH330" s="3">
        <f t="shared" si="77"/>
        <v>4.8586995936720605E-2</v>
      </c>
      <c r="AI330" s="3">
        <f t="shared" si="78"/>
        <v>-3.1912836174412232E-3</v>
      </c>
    </row>
    <row r="331" spans="19:35" x14ac:dyDescent="0.3">
      <c r="S331" s="6">
        <v>314</v>
      </c>
      <c r="T331" s="4">
        <f t="shared" si="64"/>
        <v>157</v>
      </c>
      <c r="U331" s="3">
        <f t="shared" si="65"/>
        <v>-5035864.4047864266</v>
      </c>
      <c r="V331" s="3">
        <f t="shared" si="66"/>
        <v>329689.45422546059</v>
      </c>
      <c r="W331" s="3">
        <f t="shared" si="67"/>
        <v>-30603.96284300632</v>
      </c>
      <c r="X331" s="3">
        <f t="shared" si="68"/>
        <v>2490.1699663740474</v>
      </c>
      <c r="Y331" s="3">
        <f t="shared" si="69"/>
        <v>5040558.6214324906</v>
      </c>
      <c r="Z331" s="3">
        <f t="shared" si="70"/>
        <v>-320944.11952433054</v>
      </c>
      <c r="AA331" s="3">
        <f t="shared" si="71"/>
        <v>5050765.9165669773</v>
      </c>
      <c r="AB331" s="3">
        <f t="shared" si="72"/>
        <v>5000558.6214324906</v>
      </c>
      <c r="AC331" s="3">
        <f t="shared" si="73"/>
        <v>-318444.11952433054</v>
      </c>
      <c r="AD331" s="3">
        <f t="shared" si="74"/>
        <v>5010687.8952537486</v>
      </c>
      <c r="AE331" s="3">
        <f t="shared" si="75"/>
        <v>5015558.6214324906</v>
      </c>
      <c r="AF331" s="3">
        <f t="shared" si="79"/>
        <v>-343444.11952433054</v>
      </c>
      <c r="AG331" s="3">
        <f t="shared" si="76"/>
        <v>5027303.6658094991</v>
      </c>
      <c r="AH331" s="3">
        <f t="shared" si="77"/>
        <v>4.8290873573112271E-2</v>
      </c>
      <c r="AI331" s="3">
        <f t="shared" si="78"/>
        <v>-3.1741395122646941E-3</v>
      </c>
    </row>
    <row r="332" spans="19:35" x14ac:dyDescent="0.3">
      <c r="S332" s="6">
        <v>315</v>
      </c>
      <c r="T332" s="4">
        <f t="shared" si="64"/>
        <v>157.5</v>
      </c>
      <c r="U332" s="3">
        <f t="shared" si="65"/>
        <v>-5051166.3741352111</v>
      </c>
      <c r="V332" s="3">
        <f t="shared" si="66"/>
        <v>330934.53841511277</v>
      </c>
      <c r="W332" s="3">
        <f t="shared" si="67"/>
        <v>-30596.357030418556</v>
      </c>
      <c r="X332" s="3">
        <f t="shared" si="68"/>
        <v>2489.6700394008658</v>
      </c>
      <c r="Y332" s="3">
        <f t="shared" si="69"/>
        <v>5055864.4047864266</v>
      </c>
      <c r="Z332" s="3">
        <f t="shared" si="70"/>
        <v>-322189.45422546059</v>
      </c>
      <c r="AA332" s="3">
        <f t="shared" si="71"/>
        <v>5066119.9081743527</v>
      </c>
      <c r="AB332" s="3">
        <f t="shared" si="72"/>
        <v>5015864.4047864266</v>
      </c>
      <c r="AC332" s="3">
        <f t="shared" si="73"/>
        <v>-319689.45422546059</v>
      </c>
      <c r="AD332" s="3">
        <f t="shared" si="74"/>
        <v>5026041.8894341169</v>
      </c>
      <c r="AE332" s="3">
        <f t="shared" si="75"/>
        <v>5030864.4047864266</v>
      </c>
      <c r="AF332" s="3">
        <f t="shared" si="79"/>
        <v>-344689.45422546059</v>
      </c>
      <c r="AG332" s="3">
        <f t="shared" si="76"/>
        <v>5042658.7708471147</v>
      </c>
      <c r="AH332" s="3">
        <f t="shared" si="77"/>
        <v>4.7997522699589623E-2</v>
      </c>
      <c r="AI332" s="3">
        <f t="shared" si="78"/>
        <v>-3.1571355188444762E-3</v>
      </c>
    </row>
    <row r="333" spans="19:35" x14ac:dyDescent="0.3">
      <c r="S333" s="6">
        <v>316</v>
      </c>
      <c r="T333" s="4">
        <f t="shared" si="64"/>
        <v>158</v>
      </c>
      <c r="U333" s="3">
        <f t="shared" si="65"/>
        <v>-5066464.5406510392</v>
      </c>
      <c r="V333" s="3">
        <f t="shared" si="66"/>
        <v>332179.37264552934</v>
      </c>
      <c r="W333" s="3">
        <f t="shared" si="67"/>
        <v>-30588.773421832022</v>
      </c>
      <c r="X333" s="3">
        <f t="shared" si="68"/>
        <v>2489.1712119888884</v>
      </c>
      <c r="Y333" s="3">
        <f t="shared" si="69"/>
        <v>5071166.3741352111</v>
      </c>
      <c r="Z333" s="3">
        <f t="shared" si="70"/>
        <v>-323434.53841511277</v>
      </c>
      <c r="AA333" s="3">
        <f t="shared" si="71"/>
        <v>5081470.0918926466</v>
      </c>
      <c r="AB333" s="3">
        <f t="shared" si="72"/>
        <v>5031166.3741352111</v>
      </c>
      <c r="AC333" s="3">
        <f t="shared" si="73"/>
        <v>-320934.53841511277</v>
      </c>
      <c r="AD333" s="3">
        <f t="shared" si="74"/>
        <v>5041392.0758235585</v>
      </c>
      <c r="AE333" s="3">
        <f t="shared" si="75"/>
        <v>5046166.3741352111</v>
      </c>
      <c r="AF333" s="3">
        <f t="shared" si="79"/>
        <v>-345934.53841511277</v>
      </c>
      <c r="AG333" s="3">
        <f t="shared" si="76"/>
        <v>5058010.0613108091</v>
      </c>
      <c r="AH333" s="3">
        <f t="shared" si="77"/>
        <v>4.77069084336346E-2</v>
      </c>
      <c r="AI333" s="3">
        <f t="shared" si="78"/>
        <v>-3.1402701196449174E-3</v>
      </c>
    </row>
    <row r="334" spans="19:35" x14ac:dyDescent="0.3">
      <c r="S334" s="6">
        <v>317</v>
      </c>
      <c r="T334" s="4">
        <f t="shared" si="64"/>
        <v>158.5</v>
      </c>
      <c r="U334" s="3">
        <f t="shared" si="65"/>
        <v>-5081758.9154352276</v>
      </c>
      <c r="V334" s="3">
        <f t="shared" si="66"/>
        <v>333423.95746645628</v>
      </c>
      <c r="W334" s="3">
        <f t="shared" si="67"/>
        <v>-30581.211876845289</v>
      </c>
      <c r="X334" s="3">
        <f t="shared" si="68"/>
        <v>2488.6734791749245</v>
      </c>
      <c r="Y334" s="3">
        <f t="shared" si="69"/>
        <v>5086464.5406510392</v>
      </c>
      <c r="Z334" s="3">
        <f t="shared" si="70"/>
        <v>-324679.37264552934</v>
      </c>
      <c r="AA334" s="3">
        <f t="shared" si="71"/>
        <v>5096816.4787759315</v>
      </c>
      <c r="AB334" s="3">
        <f t="shared" si="72"/>
        <v>5046464.5406510392</v>
      </c>
      <c r="AC334" s="3">
        <f t="shared" si="73"/>
        <v>-322179.37264552934</v>
      </c>
      <c r="AD334" s="3">
        <f t="shared" si="74"/>
        <v>5056738.46547422</v>
      </c>
      <c r="AE334" s="3">
        <f t="shared" si="75"/>
        <v>5061464.5406510392</v>
      </c>
      <c r="AF334" s="3">
        <f t="shared" si="79"/>
        <v>-347179.37264552934</v>
      </c>
      <c r="AG334" s="3">
        <f t="shared" si="76"/>
        <v>5073357.548316339</v>
      </c>
      <c r="AH334" s="3">
        <f t="shared" si="77"/>
        <v>4.7418996443396977E-2</v>
      </c>
      <c r="AI334" s="3">
        <f t="shared" si="78"/>
        <v>-3.1235418173235991E-3</v>
      </c>
    </row>
    <row r="335" spans="19:35" x14ac:dyDescent="0.3">
      <c r="S335" s="6">
        <v>318</v>
      </c>
      <c r="T335" s="4">
        <f t="shared" si="64"/>
        <v>159</v>
      </c>
      <c r="U335" s="3">
        <f t="shared" si="65"/>
        <v>-5097049.5095189009</v>
      </c>
      <c r="V335" s="3">
        <f t="shared" si="66"/>
        <v>334668.29342515831</v>
      </c>
      <c r="W335" s="3">
        <f t="shared" si="67"/>
        <v>-30573.672256410788</v>
      </c>
      <c r="X335" s="3">
        <f t="shared" si="68"/>
        <v>2488.1768360259703</v>
      </c>
      <c r="Y335" s="3">
        <f t="shared" si="69"/>
        <v>5101758.9154352276</v>
      </c>
      <c r="Z335" s="3">
        <f t="shared" si="70"/>
        <v>-325923.95746645628</v>
      </c>
      <c r="AA335" s="3">
        <f t="shared" si="71"/>
        <v>5112159.079808983</v>
      </c>
      <c r="AB335" s="3">
        <f t="shared" si="72"/>
        <v>5061758.9154352276</v>
      </c>
      <c r="AC335" s="3">
        <f t="shared" si="73"/>
        <v>-323423.95746645628</v>
      </c>
      <c r="AD335" s="3">
        <f t="shared" si="74"/>
        <v>5072081.0693689901</v>
      </c>
      <c r="AE335" s="3">
        <f t="shared" si="75"/>
        <v>5076758.9154352276</v>
      </c>
      <c r="AF335" s="3">
        <f t="shared" si="79"/>
        <v>-348423.95746645628</v>
      </c>
      <c r="AG335" s="3">
        <f t="shared" si="76"/>
        <v>5088701.2429093979</v>
      </c>
      <c r="AH335" s="3">
        <f t="shared" si="77"/>
        <v>4.7133752937253873E-2</v>
      </c>
      <c r="AI335" s="3">
        <f t="shared" si="78"/>
        <v>-3.1069491344180812E-3</v>
      </c>
    </row>
    <row r="336" spans="19:35" x14ac:dyDescent="0.3">
      <c r="S336" s="6">
        <v>319</v>
      </c>
      <c r="T336" s="4">
        <f t="shared" si="64"/>
        <v>159.5</v>
      </c>
      <c r="U336" s="3">
        <f t="shared" si="65"/>
        <v>-5112336.3338636681</v>
      </c>
      <c r="V336" s="3">
        <f t="shared" si="66"/>
        <v>335912.38106643403</v>
      </c>
      <c r="W336" s="3">
        <f t="shared" si="67"/>
        <v>-30566.154422817297</v>
      </c>
      <c r="X336" s="3">
        <f t="shared" si="68"/>
        <v>2487.6812776390307</v>
      </c>
      <c r="Y336" s="3">
        <f t="shared" si="69"/>
        <v>5117049.5095189009</v>
      </c>
      <c r="Z336" s="3">
        <f t="shared" si="70"/>
        <v>-327168.29342515831</v>
      </c>
      <c r="AA336" s="3">
        <f t="shared" si="71"/>
        <v>5127497.9059079448</v>
      </c>
      <c r="AB336" s="3">
        <f t="shared" si="72"/>
        <v>5077049.5095189009</v>
      </c>
      <c r="AC336" s="3">
        <f t="shared" si="73"/>
        <v>-324668.29342515831</v>
      </c>
      <c r="AD336" s="3">
        <f t="shared" si="74"/>
        <v>5087419.8984221574</v>
      </c>
      <c r="AE336" s="3">
        <f t="shared" si="75"/>
        <v>5092049.5095189009</v>
      </c>
      <c r="AF336" s="3">
        <f t="shared" si="79"/>
        <v>-349668.29342515831</v>
      </c>
      <c r="AG336" s="3">
        <f t="shared" si="76"/>
        <v>5104041.1560662929</v>
      </c>
      <c r="AH336" s="3">
        <f t="shared" si="77"/>
        <v>4.6851144653596882E-2</v>
      </c>
      <c r="AI336" s="3">
        <f t="shared" si="78"/>
        <v>-3.0904906130378466E-3</v>
      </c>
    </row>
    <row r="337" spans="19:35" x14ac:dyDescent="0.3">
      <c r="S337" s="6">
        <v>320</v>
      </c>
      <c r="T337" s="4">
        <f t="shared" si="64"/>
        <v>160</v>
      </c>
      <c r="U337" s="3">
        <f t="shared" si="65"/>
        <v>-5127619.3993622912</v>
      </c>
      <c r="V337" s="3">
        <f t="shared" si="66"/>
        <v>337156.22093263088</v>
      </c>
      <c r="W337" s="3">
        <f t="shared" si="67"/>
        <v>-30558.658239672721</v>
      </c>
      <c r="X337" s="3">
        <f t="shared" si="68"/>
        <v>2487.1867991409445</v>
      </c>
      <c r="Y337" s="3">
        <f t="shared" si="69"/>
        <v>5132336.3338636681</v>
      </c>
      <c r="Z337" s="3">
        <f t="shared" si="70"/>
        <v>-328412.38106643403</v>
      </c>
      <c r="AA337" s="3">
        <f t="shared" si="71"/>
        <v>5142832.9679209767</v>
      </c>
      <c r="AB337" s="3">
        <f t="shared" si="72"/>
        <v>5092336.3338636681</v>
      </c>
      <c r="AC337" s="3">
        <f t="shared" si="73"/>
        <v>-325912.38106643403</v>
      </c>
      <c r="AD337" s="3">
        <f t="shared" si="74"/>
        <v>5102754.9634800665</v>
      </c>
      <c r="AE337" s="3">
        <f t="shared" si="75"/>
        <v>5107336.3338636681</v>
      </c>
      <c r="AF337" s="3">
        <f t="shared" si="79"/>
        <v>-350912.38106643403</v>
      </c>
      <c r="AG337" s="3">
        <f t="shared" si="76"/>
        <v>5119377.2986946069</v>
      </c>
      <c r="AH337" s="3">
        <f t="shared" si="77"/>
        <v>4.6571138850846808E-2</v>
      </c>
      <c r="AI337" s="3">
        <f t="shared" si="78"/>
        <v>-3.0741648145617513E-3</v>
      </c>
    </row>
    <row r="338" spans="19:35" x14ac:dyDescent="0.3">
      <c r="S338" s="6">
        <v>321</v>
      </c>
      <c r="T338" s="4">
        <f t="shared" ref="T338:T401" si="80">T337+$C$4</f>
        <v>160.5</v>
      </c>
      <c r="U338" s="3">
        <f t="shared" ref="U338:U401" si="81">U337+(W337*$C$4)+(AH337*POWER($C$4,2))</f>
        <v>-5142898.7168393424</v>
      </c>
      <c r="V338" s="3">
        <f t="shared" ref="V338:V401" si="82">V337+(X337*$C$4)+(AI337*POWER($C$4,2))</f>
        <v>338399.81356366019</v>
      </c>
      <c r="W338" s="3">
        <f t="shared" ref="W338:W401" si="83">W337+(AH337*T338)</f>
        <v>-30551.183571887159</v>
      </c>
      <c r="X338" s="3">
        <f t="shared" ref="X338:X401" si="84">X337+(AI337*T338)</f>
        <v>2486.6933956882071</v>
      </c>
      <c r="Y338" s="3">
        <f t="shared" ref="Y338:Y401" si="85">$C$19-U337</f>
        <v>5147619.3993622912</v>
      </c>
      <c r="Z338" s="3">
        <f t="shared" ref="Z338:Z401" si="86">$C$20-V337</f>
        <v>-329656.22093263088</v>
      </c>
      <c r="AA338" s="3">
        <f t="shared" ref="AA338:AA401" si="87">SQRT(POWER(Y338,2)+POWER(Z338,2))</f>
        <v>5158164.2766289031</v>
      </c>
      <c r="AB338" s="3">
        <f t="shared" ref="AB338:AB401" si="88">$F$19-U337</f>
        <v>5107619.3993622912</v>
      </c>
      <c r="AC338" s="3">
        <f t="shared" ref="AC338:AC401" si="89">$F$20-V337</f>
        <v>-327156.22093263088</v>
      </c>
      <c r="AD338" s="3">
        <f t="shared" ref="AD338:AD401" si="90">SQRT(POWER(AB338,2)+POWER(AC338,2))</f>
        <v>5118086.2753217565</v>
      </c>
      <c r="AE338" s="3">
        <f t="shared" ref="AE338:AE401" si="91">$I$19-U337</f>
        <v>5122619.3993622912</v>
      </c>
      <c r="AF338" s="3">
        <f t="shared" si="79"/>
        <v>-352156.22093263088</v>
      </c>
      <c r="AG338" s="3">
        <f t="shared" ref="AG338:AG401" si="92">SQRT(POWER(AE338,2)+POWER(AF338,2))</f>
        <v>5134709.6816338543</v>
      </c>
      <c r="AH338" s="3">
        <f t="shared" ref="AH338:AH401" si="93">($C$24*(Y338/POWER(POWER(AA338,2)+POWER($C$25,2),3/2)))+($F$24*(AB338/POWER(POWER(AD338,2)+POWER($F$25,2),3/2)))+($I$24*(AE338/POWER(POWER(AG338,2)+POWER($I$25,2),3/2)))</f>
        <v>4.6293703297685958E-2</v>
      </c>
      <c r="AI338" s="3">
        <f t="shared" ref="AI338:AI401" si="94">$C$24*(Z338/POWER(POWER(AA338,2)+POWER($C$25,2),3/2))+$F$24*(AC338/POWER(POWER(AD338,2)+POWER($F$25,2),3/2))+$I$24*(AF338/POWER(POWER(AG338,2)+POWER($I$25,2),3/2))</f>
        <v>-3.0579703193405541E-3</v>
      </c>
    </row>
    <row r="339" spans="19:35" x14ac:dyDescent="0.3">
      <c r="S339" s="6">
        <v>322</v>
      </c>
      <c r="T339" s="4">
        <f t="shared" si="80"/>
        <v>161</v>
      </c>
      <c r="U339" s="3">
        <f t="shared" si="81"/>
        <v>-5158174.29705186</v>
      </c>
      <c r="V339" s="3">
        <f t="shared" si="82"/>
        <v>339643.15949701169</v>
      </c>
      <c r="W339" s="3">
        <f t="shared" si="83"/>
        <v>-30543.730285656231</v>
      </c>
      <c r="X339" s="3">
        <f t="shared" si="84"/>
        <v>2486.2010624667932</v>
      </c>
      <c r="Y339" s="3">
        <f t="shared" si="85"/>
        <v>5162898.7168393424</v>
      </c>
      <c r="Z339" s="3">
        <f t="shared" si="86"/>
        <v>-330899.81356366019</v>
      </c>
      <c r="AA339" s="3">
        <f t="shared" si="87"/>
        <v>5173491.8427458443</v>
      </c>
      <c r="AB339" s="3">
        <f t="shared" si="88"/>
        <v>5122898.7168393424</v>
      </c>
      <c r="AC339" s="3">
        <f t="shared" si="89"/>
        <v>-328399.81356366019</v>
      </c>
      <c r="AD339" s="3">
        <f t="shared" si="90"/>
        <v>5133413.8446595976</v>
      </c>
      <c r="AE339" s="3">
        <f t="shared" si="91"/>
        <v>5137898.7168393424</v>
      </c>
      <c r="AF339" s="3">
        <f t="shared" ref="AF339:AF402" si="95">$I$20-V338</f>
        <v>-353399.81356366019</v>
      </c>
      <c r="AG339" s="3">
        <f t="shared" si="92"/>
        <v>5150038.3156561265</v>
      </c>
      <c r="AH339" s="3">
        <f t="shared" si="93"/>
        <v>4.6018806263505518E-2</v>
      </c>
      <c r="AI339" s="3">
        <f t="shared" si="94"/>
        <v>-3.0419057264046779E-3</v>
      </c>
    </row>
    <row r="340" spans="19:35" x14ac:dyDescent="0.3">
      <c r="S340" s="6">
        <v>323</v>
      </c>
      <c r="T340" s="4">
        <f t="shared" si="80"/>
        <v>161.5</v>
      </c>
      <c r="U340" s="3">
        <f t="shared" si="81"/>
        <v>-5173446.1506899865</v>
      </c>
      <c r="V340" s="3">
        <f t="shared" si="82"/>
        <v>340886.25926776865</v>
      </c>
      <c r="W340" s="3">
        <f t="shared" si="83"/>
        <v>-30536.298248444677</v>
      </c>
      <c r="X340" s="3">
        <f t="shared" si="84"/>
        <v>2485.7097946919789</v>
      </c>
      <c r="Y340" s="3">
        <f t="shared" si="85"/>
        <v>5178174.29705186</v>
      </c>
      <c r="Z340" s="3">
        <f t="shared" si="86"/>
        <v>-332143.15949701169</v>
      </c>
      <c r="AA340" s="3">
        <f t="shared" si="87"/>
        <v>5188815.6769198477</v>
      </c>
      <c r="AB340" s="3">
        <f t="shared" si="88"/>
        <v>5138174.29705186</v>
      </c>
      <c r="AC340" s="3">
        <f t="shared" si="89"/>
        <v>-329643.15949701169</v>
      </c>
      <c r="AD340" s="3">
        <f t="shared" si="90"/>
        <v>5148737.6821399191</v>
      </c>
      <c r="AE340" s="3">
        <f t="shared" si="91"/>
        <v>5153174.29705186</v>
      </c>
      <c r="AF340" s="3">
        <f t="shared" si="95"/>
        <v>-354643.15949701169</v>
      </c>
      <c r="AG340" s="3">
        <f t="shared" si="92"/>
        <v>5165363.2114667362</v>
      </c>
      <c r="AH340" s="3">
        <f t="shared" si="93"/>
        <v>4.5746416509061943E-2</v>
      </c>
      <c r="AI340" s="3">
        <f t="shared" si="94"/>
        <v>-3.0259696531770163E-3</v>
      </c>
    </row>
    <row r="341" spans="19:35" x14ac:dyDescent="0.3">
      <c r="S341" s="6">
        <v>324</v>
      </c>
      <c r="T341" s="4">
        <f t="shared" si="80"/>
        <v>162</v>
      </c>
      <c r="U341" s="3">
        <f t="shared" si="81"/>
        <v>-5188714.2883776044</v>
      </c>
      <c r="V341" s="3">
        <f t="shared" si="82"/>
        <v>342129.11340862222</v>
      </c>
      <c r="W341" s="3">
        <f t="shared" si="83"/>
        <v>-30528.88732897021</v>
      </c>
      <c r="X341" s="3">
        <f t="shared" si="84"/>
        <v>2485.2195876081641</v>
      </c>
      <c r="Y341" s="3">
        <f t="shared" si="85"/>
        <v>5193446.1506899865</v>
      </c>
      <c r="Z341" s="3">
        <f t="shared" si="86"/>
        <v>-333386.25926776865</v>
      </c>
      <c r="AA341" s="3">
        <f t="shared" si="87"/>
        <v>5204135.7897335067</v>
      </c>
      <c r="AB341" s="3">
        <f t="shared" si="88"/>
        <v>5153446.1506899865</v>
      </c>
      <c r="AC341" s="3">
        <f t="shared" si="89"/>
        <v>-330886.25926776865</v>
      </c>
      <c r="AD341" s="3">
        <f t="shared" si="90"/>
        <v>5164057.7983436296</v>
      </c>
      <c r="AE341" s="3">
        <f t="shared" si="91"/>
        <v>5168446.1506899865</v>
      </c>
      <c r="AF341" s="3">
        <f t="shared" si="95"/>
        <v>-355886.25926776865</v>
      </c>
      <c r="AG341" s="3">
        <f t="shared" si="92"/>
        <v>5180684.3797048423</v>
      </c>
      <c r="AH341" s="3">
        <f t="shared" si="93"/>
        <v>4.5476503277335364E-2</v>
      </c>
      <c r="AI341" s="3">
        <f t="shared" si="94"/>
        <v>-3.0101607351906102E-3</v>
      </c>
    </row>
    <row r="342" spans="19:35" x14ac:dyDescent="0.3">
      <c r="S342" s="6">
        <v>325</v>
      </c>
      <c r="T342" s="4">
        <f t="shared" si="80"/>
        <v>162.5</v>
      </c>
      <c r="U342" s="3">
        <f t="shared" si="81"/>
        <v>-5203978.7206729632</v>
      </c>
      <c r="V342" s="3">
        <f t="shared" si="82"/>
        <v>343371.72244988609</v>
      </c>
      <c r="W342" s="3">
        <f t="shared" si="83"/>
        <v>-30521.497397187642</v>
      </c>
      <c r="X342" s="3">
        <f t="shared" si="84"/>
        <v>2484.7304364886959</v>
      </c>
      <c r="Y342" s="3">
        <f t="shared" si="85"/>
        <v>5208714.2883776044</v>
      </c>
      <c r="Z342" s="3">
        <f t="shared" si="86"/>
        <v>-334629.11340862222</v>
      </c>
      <c r="AA342" s="3">
        <f t="shared" si="87"/>
        <v>5219452.1917045712</v>
      </c>
      <c r="AB342" s="3">
        <f t="shared" si="88"/>
        <v>5168714.2883776044</v>
      </c>
      <c r="AC342" s="3">
        <f t="shared" si="89"/>
        <v>-332129.11340862222</v>
      </c>
      <c r="AD342" s="3">
        <f t="shared" si="90"/>
        <v>5179374.2037868248</v>
      </c>
      <c r="AE342" s="3">
        <f t="shared" si="91"/>
        <v>5183714.2883776044</v>
      </c>
      <c r="AF342" s="3">
        <f t="shared" si="95"/>
        <v>-357129.11340862222</v>
      </c>
      <c r="AG342" s="3">
        <f t="shared" si="92"/>
        <v>5196001.8309440734</v>
      </c>
      <c r="AH342" s="3">
        <f t="shared" si="93"/>
        <v>4.5209036284587764E-2</v>
      </c>
      <c r="AI342" s="3">
        <f t="shared" si="94"/>
        <v>-2.9944776258112576E-3</v>
      </c>
    </row>
    <row r="343" spans="19:35" x14ac:dyDescent="0.3">
      <c r="S343" s="6">
        <v>326</v>
      </c>
      <c r="T343" s="4">
        <f t="shared" si="80"/>
        <v>163</v>
      </c>
      <c r="U343" s="3">
        <f t="shared" si="81"/>
        <v>-5219239.4580692984</v>
      </c>
      <c r="V343" s="3">
        <f t="shared" si="82"/>
        <v>344614.08691951109</v>
      </c>
      <c r="W343" s="3">
        <f t="shared" si="83"/>
        <v>-30514.128324273253</v>
      </c>
      <c r="X343" s="3">
        <f t="shared" si="84"/>
        <v>2484.2423366356888</v>
      </c>
      <c r="Y343" s="3">
        <f t="shared" si="85"/>
        <v>5223978.7206729632</v>
      </c>
      <c r="Z343" s="3">
        <f t="shared" si="86"/>
        <v>-335871.72244988609</v>
      </c>
      <c r="AA343" s="3">
        <f t="shared" si="87"/>
        <v>5234764.8932865532</v>
      </c>
      <c r="AB343" s="3">
        <f t="shared" si="88"/>
        <v>5183978.7206729632</v>
      </c>
      <c r="AC343" s="3">
        <f t="shared" si="89"/>
        <v>-333371.72244988609</v>
      </c>
      <c r="AD343" s="3">
        <f t="shared" si="90"/>
        <v>5194686.9089213926</v>
      </c>
      <c r="AE343" s="3">
        <f t="shared" si="91"/>
        <v>5198978.7206729632</v>
      </c>
      <c r="AF343" s="3">
        <f t="shared" si="95"/>
        <v>-358371.72244988609</v>
      </c>
      <c r="AG343" s="3">
        <f t="shared" si="92"/>
        <v>5211315.5756931454</v>
      </c>
      <c r="AH343" s="3">
        <f t="shared" si="93"/>
        <v>4.4943985711613267E-2</v>
      </c>
      <c r="AI343" s="3">
        <f t="shared" si="94"/>
        <v>-2.9789189959648155E-3</v>
      </c>
    </row>
    <row r="344" spans="19:35" x14ac:dyDescent="0.3">
      <c r="S344" s="6">
        <v>327</v>
      </c>
      <c r="T344" s="4">
        <f t="shared" si="80"/>
        <v>163.5</v>
      </c>
      <c r="U344" s="3">
        <f t="shared" si="81"/>
        <v>-5234496.5109954393</v>
      </c>
      <c r="V344" s="3">
        <f t="shared" si="82"/>
        <v>345856.20734309917</v>
      </c>
      <c r="W344" s="3">
        <f t="shared" si="83"/>
        <v>-30506.779982609405</v>
      </c>
      <c r="X344" s="3">
        <f t="shared" si="84"/>
        <v>2483.7552833798486</v>
      </c>
      <c r="Y344" s="3">
        <f t="shared" si="85"/>
        <v>5239239.4580692984</v>
      </c>
      <c r="Z344" s="3">
        <f t="shared" si="86"/>
        <v>-337114.08691951109</v>
      </c>
      <c r="AA344" s="3">
        <f t="shared" si="87"/>
        <v>5250073.9048693255</v>
      </c>
      <c r="AB344" s="3">
        <f t="shared" si="88"/>
        <v>5199239.4580692984</v>
      </c>
      <c r="AC344" s="3">
        <f t="shared" si="89"/>
        <v>-334614.08691951109</v>
      </c>
      <c r="AD344" s="3">
        <f t="shared" si="90"/>
        <v>5209995.9241356133</v>
      </c>
      <c r="AE344" s="3">
        <f t="shared" si="91"/>
        <v>5214239.4580692984</v>
      </c>
      <c r="AF344" s="3">
        <f t="shared" si="95"/>
        <v>-359614.08691951109</v>
      </c>
      <c r="AG344" s="3">
        <f t="shared" si="92"/>
        <v>5226625.6243964676</v>
      </c>
      <c r="AH344" s="3">
        <f t="shared" si="93"/>
        <v>4.4681322195178078E-2</v>
      </c>
      <c r="AI344" s="3">
        <f t="shared" si="94"/>
        <v>-2.9634835338692321E-3</v>
      </c>
    </row>
    <row r="345" spans="19:35" x14ac:dyDescent="0.3">
      <c r="S345" s="6">
        <v>328</v>
      </c>
      <c r="T345" s="4">
        <f t="shared" si="80"/>
        <v>164</v>
      </c>
      <c r="U345" s="3">
        <f t="shared" si="81"/>
        <v>-5249749.8898164136</v>
      </c>
      <c r="V345" s="3">
        <f t="shared" si="82"/>
        <v>347098.08424391819</v>
      </c>
      <c r="W345" s="3">
        <f t="shared" si="83"/>
        <v>-30499.452245769397</v>
      </c>
      <c r="X345" s="3">
        <f t="shared" si="84"/>
        <v>2483.2692720802938</v>
      </c>
      <c r="Y345" s="3">
        <f t="shared" si="85"/>
        <v>5254496.5109954393</v>
      </c>
      <c r="Z345" s="3">
        <f t="shared" si="86"/>
        <v>-338356.20734309917</v>
      </c>
      <c r="AA345" s="3">
        <f t="shared" si="87"/>
        <v>5265379.2367797075</v>
      </c>
      <c r="AB345" s="3">
        <f t="shared" si="88"/>
        <v>5214496.5109954393</v>
      </c>
      <c r="AC345" s="3">
        <f t="shared" si="89"/>
        <v>-335856.20734309917</v>
      </c>
      <c r="AD345" s="3">
        <f t="shared" si="90"/>
        <v>5225301.2597547425</v>
      </c>
      <c r="AE345" s="3">
        <f t="shared" si="91"/>
        <v>5229496.5109954393</v>
      </c>
      <c r="AF345" s="3">
        <f t="shared" si="95"/>
        <v>-360856.20734309917</v>
      </c>
      <c r="AG345" s="3">
        <f t="shared" si="92"/>
        <v>5241931.9874347392</v>
      </c>
      <c r="AH345" s="3">
        <f t="shared" si="93"/>
        <v>4.442101681964436E-2</v>
      </c>
      <c r="AI345" s="3">
        <f t="shared" si="94"/>
        <v>-2.9481699447711728E-3</v>
      </c>
    </row>
    <row r="346" spans="19:35" x14ac:dyDescent="0.3">
      <c r="S346" s="6">
        <v>329</v>
      </c>
      <c r="T346" s="4">
        <f t="shared" si="80"/>
        <v>164.5</v>
      </c>
      <c r="U346" s="3">
        <f t="shared" si="81"/>
        <v>-5264999.6048340444</v>
      </c>
      <c r="V346" s="3">
        <f t="shared" si="82"/>
        <v>348339.71814291587</v>
      </c>
      <c r="W346" s="3">
        <f t="shared" si="83"/>
        <v>-30492.144988502565</v>
      </c>
      <c r="X346" s="3">
        <f t="shared" si="84"/>
        <v>2482.7842981243789</v>
      </c>
      <c r="Y346" s="3">
        <f t="shared" si="85"/>
        <v>5269749.8898164136</v>
      </c>
      <c r="Z346" s="3">
        <f t="shared" si="86"/>
        <v>-339598.08424391819</v>
      </c>
      <c r="AA346" s="3">
        <f t="shared" si="87"/>
        <v>5280680.8992820466</v>
      </c>
      <c r="AB346" s="3">
        <f t="shared" si="88"/>
        <v>5229749.8898164136</v>
      </c>
      <c r="AC346" s="3">
        <f t="shared" si="89"/>
        <v>-337098.08424391819</v>
      </c>
      <c r="AD346" s="3">
        <f t="shared" si="90"/>
        <v>5240602.9260415928</v>
      </c>
      <c r="AE346" s="3">
        <f t="shared" si="91"/>
        <v>5244749.8898164136</v>
      </c>
      <c r="AF346" s="3">
        <f t="shared" si="95"/>
        <v>-362098.08424391819</v>
      </c>
      <c r="AG346" s="3">
        <f t="shared" si="92"/>
        <v>5257234.6751255458</v>
      </c>
      <c r="AH346" s="3">
        <f t="shared" si="93"/>
        <v>4.4163041108772491E-2</v>
      </c>
      <c r="AI346" s="3">
        <f t="shared" si="94"/>
        <v>-2.9329769506870797E-3</v>
      </c>
    </row>
    <row r="347" spans="19:35" x14ac:dyDescent="0.3">
      <c r="S347" s="6">
        <v>330</v>
      </c>
      <c r="T347" s="4">
        <f t="shared" si="80"/>
        <v>165</v>
      </c>
      <c r="U347" s="3">
        <f t="shared" si="81"/>
        <v>-5280245.6662875358</v>
      </c>
      <c r="V347" s="3">
        <f t="shared" si="82"/>
        <v>349581.10955873382</v>
      </c>
      <c r="W347" s="3">
        <f t="shared" si="83"/>
        <v>-30484.858086719618</v>
      </c>
      <c r="X347" s="3">
        <f t="shared" si="84"/>
        <v>2482.3003569275156</v>
      </c>
      <c r="Y347" s="3">
        <f t="shared" si="85"/>
        <v>5284999.6048340444</v>
      </c>
      <c r="Z347" s="3">
        <f t="shared" si="86"/>
        <v>-340839.71814291587</v>
      </c>
      <c r="AA347" s="3">
        <f t="shared" si="87"/>
        <v>5295978.9025788</v>
      </c>
      <c r="AB347" s="3">
        <f t="shared" si="88"/>
        <v>5244999.6048340444</v>
      </c>
      <c r="AC347" s="3">
        <f t="shared" si="89"/>
        <v>-338339.71814291587</v>
      </c>
      <c r="AD347" s="3">
        <f t="shared" si="90"/>
        <v>5255900.9331971155</v>
      </c>
      <c r="AE347" s="3">
        <f t="shared" si="91"/>
        <v>5259999.6048340444</v>
      </c>
      <c r="AF347" s="3">
        <f t="shared" si="95"/>
        <v>-363339.71814291587</v>
      </c>
      <c r="AG347" s="3">
        <f t="shared" si="92"/>
        <v>5272533.6977239391</v>
      </c>
      <c r="AH347" s="3">
        <f t="shared" si="93"/>
        <v>4.3907367017700545E-2</v>
      </c>
      <c r="AI347" s="3">
        <f t="shared" si="94"/>
        <v>-2.9179032901487925E-3</v>
      </c>
    </row>
    <row r="348" spans="19:35" x14ac:dyDescent="0.3">
      <c r="S348" s="6">
        <v>331</v>
      </c>
      <c r="T348" s="4">
        <f t="shared" si="80"/>
        <v>165.5</v>
      </c>
      <c r="U348" s="3">
        <f t="shared" si="81"/>
        <v>-5295488.0843540542</v>
      </c>
      <c r="V348" s="3">
        <f t="shared" si="82"/>
        <v>350822.25900772179</v>
      </c>
      <c r="W348" s="3">
        <f t="shared" si="83"/>
        <v>-30477.59141747819</v>
      </c>
      <c r="X348" s="3">
        <f t="shared" si="84"/>
        <v>2481.817443932996</v>
      </c>
      <c r="Y348" s="3">
        <f t="shared" si="85"/>
        <v>5300245.6662875358</v>
      </c>
      <c r="Z348" s="3">
        <f t="shared" si="86"/>
        <v>-342081.10955873382</v>
      </c>
      <c r="AA348" s="3">
        <f t="shared" si="87"/>
        <v>5311273.2568110954</v>
      </c>
      <c r="AB348" s="3">
        <f t="shared" si="88"/>
        <v>5260245.6662875358</v>
      </c>
      <c r="AC348" s="3">
        <f t="shared" si="89"/>
        <v>-339581.10955873382</v>
      </c>
      <c r="AD348" s="3">
        <f t="shared" si="90"/>
        <v>5271195.2913609585</v>
      </c>
      <c r="AE348" s="3">
        <f t="shared" si="91"/>
        <v>5275245.6662875358</v>
      </c>
      <c r="AF348" s="3">
        <f t="shared" si="95"/>
        <v>-364581.10955873382</v>
      </c>
      <c r="AG348" s="3">
        <f t="shared" si="92"/>
        <v>5287829.0654230211</v>
      </c>
      <c r="AH348" s="3">
        <f t="shared" si="93"/>
        <v>4.3653966925091936E-2</v>
      </c>
      <c r="AI348" s="3">
        <f t="shared" si="94"/>
        <v>-2.9029477179533269E-3</v>
      </c>
    </row>
    <row r="349" spans="19:35" x14ac:dyDescent="0.3">
      <c r="S349" s="6">
        <v>332</v>
      </c>
      <c r="T349" s="4">
        <f t="shared" si="80"/>
        <v>166</v>
      </c>
      <c r="U349" s="3">
        <f t="shared" si="81"/>
        <v>-5310726.8691493012</v>
      </c>
      <c r="V349" s="3">
        <f t="shared" si="82"/>
        <v>352063.16700395133</v>
      </c>
      <c r="W349" s="3">
        <f t="shared" si="83"/>
        <v>-30470.344858968623</v>
      </c>
      <c r="X349" s="3">
        <f t="shared" si="84"/>
        <v>2481.3355546118155</v>
      </c>
      <c r="Y349" s="3">
        <f t="shared" si="85"/>
        <v>5315488.0843540542</v>
      </c>
      <c r="Z349" s="3">
        <f t="shared" si="86"/>
        <v>-343322.25900772179</v>
      </c>
      <c r="AA349" s="3">
        <f t="shared" si="87"/>
        <v>5326563.9720592955</v>
      </c>
      <c r="AB349" s="3">
        <f t="shared" si="88"/>
        <v>5275488.0843540542</v>
      </c>
      <c r="AC349" s="3">
        <f t="shared" si="89"/>
        <v>-340822.25900772179</v>
      </c>
      <c r="AD349" s="3">
        <f t="shared" si="90"/>
        <v>5286486.0106120333</v>
      </c>
      <c r="AE349" s="3">
        <f t="shared" si="91"/>
        <v>5290488.0843540542</v>
      </c>
      <c r="AF349" s="3">
        <f t="shared" si="95"/>
        <v>-365822.25900772179</v>
      </c>
      <c r="AG349" s="3">
        <f t="shared" si="92"/>
        <v>5303120.7883545086</v>
      </c>
      <c r="AH349" s="3">
        <f t="shared" si="93"/>
        <v>4.3402813625452327E-2</v>
      </c>
      <c r="AI349" s="3">
        <f t="shared" si="94"/>
        <v>-2.8881090049171026E-3</v>
      </c>
    </row>
    <row r="350" spans="19:35" x14ac:dyDescent="0.3">
      <c r="S350" s="6">
        <v>333</v>
      </c>
      <c r="T350" s="4">
        <f t="shared" si="80"/>
        <v>166.5</v>
      </c>
      <c r="U350" s="3">
        <f t="shared" si="81"/>
        <v>-5325962.0307280822</v>
      </c>
      <c r="V350" s="3">
        <f t="shared" si="82"/>
        <v>353303.83405922999</v>
      </c>
      <c r="W350" s="3">
        <f t="shared" si="83"/>
        <v>-30463.118290499984</v>
      </c>
      <c r="X350" s="3">
        <f t="shared" si="84"/>
        <v>2480.8546844624966</v>
      </c>
      <c r="Y350" s="3">
        <f t="shared" si="85"/>
        <v>5330726.8691493012</v>
      </c>
      <c r="Z350" s="3">
        <f t="shared" si="86"/>
        <v>-344563.16700395133</v>
      </c>
      <c r="AA350" s="3">
        <f t="shared" si="87"/>
        <v>5341851.0583435502</v>
      </c>
      <c r="AB350" s="3">
        <f t="shared" si="88"/>
        <v>5290726.8691493012</v>
      </c>
      <c r="AC350" s="3">
        <f t="shared" si="89"/>
        <v>-342063.16700395133</v>
      </c>
      <c r="AD350" s="3">
        <f t="shared" si="90"/>
        <v>5301773.1009690659</v>
      </c>
      <c r="AE350" s="3">
        <f t="shared" si="91"/>
        <v>5305726.8691493012</v>
      </c>
      <c r="AF350" s="3">
        <f t="shared" si="95"/>
        <v>-367063.16700395133</v>
      </c>
      <c r="AG350" s="3">
        <f t="shared" si="92"/>
        <v>5318408.8765892955</v>
      </c>
      <c r="AH350" s="3">
        <f t="shared" si="93"/>
        <v>4.3153880321607246E-2</v>
      </c>
      <c r="AI350" s="3">
        <f t="shared" si="94"/>
        <v>-2.8733859376342185E-3</v>
      </c>
    </row>
    <row r="351" spans="19:35" x14ac:dyDescent="0.3">
      <c r="S351" s="6">
        <v>334</v>
      </c>
      <c r="T351" s="4">
        <f t="shared" si="80"/>
        <v>167</v>
      </c>
      <c r="U351" s="3">
        <f t="shared" si="81"/>
        <v>-5341193.579084862</v>
      </c>
      <c r="V351" s="3">
        <f t="shared" si="82"/>
        <v>354544.26068311476</v>
      </c>
      <c r="W351" s="3">
        <f t="shared" si="83"/>
        <v>-30455.911592486274</v>
      </c>
      <c r="X351" s="3">
        <f t="shared" si="84"/>
        <v>2480.3748290109115</v>
      </c>
      <c r="Y351" s="3">
        <f t="shared" si="85"/>
        <v>5345962.0307280822</v>
      </c>
      <c r="Z351" s="3">
        <f t="shared" si="86"/>
        <v>-345803.83405922999</v>
      </c>
      <c r="AA351" s="3">
        <f t="shared" si="87"/>
        <v>5357134.525624346</v>
      </c>
      <c r="AB351" s="3">
        <f t="shared" si="88"/>
        <v>5305962.0307280822</v>
      </c>
      <c r="AC351" s="3">
        <f t="shared" si="89"/>
        <v>-343303.83405922999</v>
      </c>
      <c r="AD351" s="3">
        <f t="shared" si="90"/>
        <v>5317056.5723911421</v>
      </c>
      <c r="AE351" s="3">
        <f t="shared" si="91"/>
        <v>5320962.0307280822</v>
      </c>
      <c r="AF351" s="3">
        <f t="shared" si="95"/>
        <v>-368303.83405922999</v>
      </c>
      <c r="AG351" s="3">
        <f t="shared" si="92"/>
        <v>5333693.3401380181</v>
      </c>
      <c r="AH351" s="3">
        <f t="shared" si="93"/>
        <v>4.2907140617339162E-2</v>
      </c>
      <c r="AI351" s="3">
        <f t="shared" si="94"/>
        <v>-2.8587773182388795E-3</v>
      </c>
    </row>
    <row r="352" spans="19:35" x14ac:dyDescent="0.3">
      <c r="S352" s="6">
        <v>335</v>
      </c>
      <c r="T352" s="4">
        <f t="shared" si="80"/>
        <v>167.5</v>
      </c>
      <c r="U352" s="3">
        <f t="shared" si="81"/>
        <v>-5356421.5241543194</v>
      </c>
      <c r="V352" s="3">
        <f t="shared" si="82"/>
        <v>355784.44738292589</v>
      </c>
      <c r="W352" s="3">
        <f t="shared" si="83"/>
        <v>-30448.724646432871</v>
      </c>
      <c r="X352" s="3">
        <f t="shared" si="84"/>
        <v>2479.8959838101064</v>
      </c>
      <c r="Y352" s="3">
        <f t="shared" si="85"/>
        <v>5361193.579084862</v>
      </c>
      <c r="Z352" s="3">
        <f t="shared" si="86"/>
        <v>-347044.26068311476</v>
      </c>
      <c r="AA352" s="3">
        <f t="shared" si="87"/>
        <v>5372414.3838030444</v>
      </c>
      <c r="AB352" s="3">
        <f t="shared" si="88"/>
        <v>5321193.579084862</v>
      </c>
      <c r="AC352" s="3">
        <f t="shared" si="89"/>
        <v>-344544.26068311476</v>
      </c>
      <c r="AD352" s="3">
        <f t="shared" si="90"/>
        <v>5332336.4347782517</v>
      </c>
      <c r="AE352" s="3">
        <f t="shared" si="91"/>
        <v>5336193.579084862</v>
      </c>
      <c r="AF352" s="3">
        <f t="shared" si="95"/>
        <v>-369544.26068311476</v>
      </c>
      <c r="AG352" s="3">
        <f t="shared" si="92"/>
        <v>5348974.188951591</v>
      </c>
      <c r="AH352" s="3">
        <f t="shared" si="93"/>
        <v>4.2662568510180694E-2</v>
      </c>
      <c r="AI352" s="3">
        <f t="shared" si="94"/>
        <v>-2.8442819641719495E-3</v>
      </c>
    </row>
    <row r="353" spans="19:35" x14ac:dyDescent="0.3">
      <c r="S353" s="6">
        <v>336</v>
      </c>
      <c r="T353" s="4">
        <f t="shared" si="80"/>
        <v>168</v>
      </c>
      <c r="U353" s="3">
        <f t="shared" si="81"/>
        <v>-5371645.8758118935</v>
      </c>
      <c r="V353" s="3">
        <f t="shared" si="82"/>
        <v>357024.39466376044</v>
      </c>
      <c r="W353" s="3">
        <f t="shared" si="83"/>
        <v>-30441.55733492316</v>
      </c>
      <c r="X353" s="3">
        <f t="shared" si="84"/>
        <v>2479.4181444401256</v>
      </c>
      <c r="Y353" s="3">
        <f t="shared" si="85"/>
        <v>5376421.5241543194</v>
      </c>
      <c r="Z353" s="3">
        <f t="shared" si="86"/>
        <v>-348284.44738292589</v>
      </c>
      <c r="AA353" s="3">
        <f t="shared" si="87"/>
        <v>5387690.6427224167</v>
      </c>
      <c r="AB353" s="3">
        <f t="shared" si="88"/>
        <v>5336421.5241543194</v>
      </c>
      <c r="AC353" s="3">
        <f t="shared" si="89"/>
        <v>-345784.44738292589</v>
      </c>
      <c r="AD353" s="3">
        <f t="shared" si="90"/>
        <v>5347612.697971818</v>
      </c>
      <c r="AE353" s="3">
        <f t="shared" si="91"/>
        <v>5351421.5241543194</v>
      </c>
      <c r="AF353" s="3">
        <f t="shared" si="95"/>
        <v>-370784.44738292589</v>
      </c>
      <c r="AG353" s="3">
        <f t="shared" si="92"/>
        <v>5364251.4329217644</v>
      </c>
      <c r="AH353" s="3">
        <f t="shared" si="93"/>
        <v>4.2420138384355238E-2</v>
      </c>
      <c r="AI353" s="3">
        <f t="shared" si="94"/>
        <v>-2.8298987079512037E-3</v>
      </c>
    </row>
    <row r="354" spans="19:35" x14ac:dyDescent="0.3">
      <c r="S354" s="6">
        <v>337</v>
      </c>
      <c r="T354" s="4">
        <f t="shared" si="80"/>
        <v>168.5</v>
      </c>
      <c r="U354" s="3">
        <f t="shared" si="81"/>
        <v>-5386866.6438743202</v>
      </c>
      <c r="V354" s="3">
        <f t="shared" si="82"/>
        <v>358264.10302850587</v>
      </c>
      <c r="W354" s="3">
        <f t="shared" si="83"/>
        <v>-30434.409541605397</v>
      </c>
      <c r="X354" s="3">
        <f t="shared" si="84"/>
        <v>2478.9413065078356</v>
      </c>
      <c r="Y354" s="3">
        <f t="shared" si="85"/>
        <v>5391645.8758118935</v>
      </c>
      <c r="Z354" s="3">
        <f t="shared" si="86"/>
        <v>-349524.39466376044</v>
      </c>
      <c r="AA354" s="3">
        <f t="shared" si="87"/>
        <v>5402963.3121671723</v>
      </c>
      <c r="AB354" s="3">
        <f t="shared" si="88"/>
        <v>5351645.8758118935</v>
      </c>
      <c r="AC354" s="3">
        <f t="shared" si="89"/>
        <v>-347024.39466376044</v>
      </c>
      <c r="AD354" s="3">
        <f t="shared" si="90"/>
        <v>5362885.3717552274</v>
      </c>
      <c r="AE354" s="3">
        <f t="shared" si="91"/>
        <v>5366645.8758118935</v>
      </c>
      <c r="AF354" s="3">
        <f t="shared" si="95"/>
        <v>-372024.39466376044</v>
      </c>
      <c r="AG354" s="3">
        <f t="shared" si="92"/>
        <v>5379525.081881647</v>
      </c>
      <c r="AH354" s="3">
        <f t="shared" si="93"/>
        <v>4.2179825003870491E-2</v>
      </c>
      <c r="AI354" s="3">
        <f t="shared" si="94"/>
        <v>-2.8156263969458255E-3</v>
      </c>
    </row>
    <row r="355" spans="19:35" x14ac:dyDescent="0.3">
      <c r="S355" s="6">
        <v>338</v>
      </c>
      <c r="T355" s="4">
        <f t="shared" si="80"/>
        <v>169</v>
      </c>
      <c r="U355" s="3">
        <f t="shared" si="81"/>
        <v>-5402083.8381001661</v>
      </c>
      <c r="V355" s="3">
        <f t="shared" si="82"/>
        <v>359503.57297785318</v>
      </c>
      <c r="W355" s="3">
        <f t="shared" si="83"/>
        <v>-30427.281151179744</v>
      </c>
      <c r="X355" s="3">
        <f t="shared" si="84"/>
        <v>2478.4654656467519</v>
      </c>
      <c r="Y355" s="3">
        <f t="shared" si="85"/>
        <v>5406866.6438743202</v>
      </c>
      <c r="Z355" s="3">
        <f t="shared" si="86"/>
        <v>-350764.10302850587</v>
      </c>
      <c r="AA355" s="3">
        <f t="shared" si="87"/>
        <v>5418232.4018644812</v>
      </c>
      <c r="AB355" s="3">
        <f t="shared" si="88"/>
        <v>5366866.6438743202</v>
      </c>
      <c r="AC355" s="3">
        <f t="shared" si="89"/>
        <v>-348264.10302850587</v>
      </c>
      <c r="AD355" s="3">
        <f t="shared" si="90"/>
        <v>5378154.4658543468</v>
      </c>
      <c r="AE355" s="3">
        <f t="shared" si="91"/>
        <v>5381866.6438743202</v>
      </c>
      <c r="AF355" s="3">
        <f t="shared" si="95"/>
        <v>-373264.10302850587</v>
      </c>
      <c r="AG355" s="3">
        <f t="shared" si="92"/>
        <v>5394795.1456062458</v>
      </c>
      <c r="AH355" s="3">
        <f t="shared" si="93"/>
        <v>4.1941603505750498E-2</v>
      </c>
      <c r="AI355" s="3">
        <f t="shared" si="94"/>
        <v>-2.8014638931543497E-3</v>
      </c>
    </row>
    <row r="356" spans="19:35" x14ac:dyDescent="0.3">
      <c r="S356" s="6">
        <v>339</v>
      </c>
      <c r="T356" s="4">
        <f t="shared" si="80"/>
        <v>169.5</v>
      </c>
      <c r="U356" s="3">
        <f t="shared" si="81"/>
        <v>-5417297.4681903552</v>
      </c>
      <c r="V356" s="3">
        <f t="shared" si="82"/>
        <v>360742.80501031055</v>
      </c>
      <c r="W356" s="3">
        <f t="shared" si="83"/>
        <v>-30420.172049385521</v>
      </c>
      <c r="X356" s="3">
        <f t="shared" si="84"/>
        <v>2477.9906175168621</v>
      </c>
      <c r="Y356" s="3">
        <f t="shared" si="85"/>
        <v>5422083.8381001661</v>
      </c>
      <c r="Z356" s="3">
        <f t="shared" si="86"/>
        <v>-352003.57297785318</v>
      </c>
      <c r="AA356" s="3">
        <f t="shared" si="87"/>
        <v>5433497.9214844834</v>
      </c>
      <c r="AB356" s="3">
        <f t="shared" si="88"/>
        <v>5382083.8381001661</v>
      </c>
      <c r="AC356" s="3">
        <f t="shared" si="89"/>
        <v>-349503.57297785318</v>
      </c>
      <c r="AD356" s="3">
        <f t="shared" si="90"/>
        <v>5393419.9899380449</v>
      </c>
      <c r="AE356" s="3">
        <f t="shared" si="91"/>
        <v>5397083.8381001661</v>
      </c>
      <c r="AF356" s="3">
        <f t="shared" si="95"/>
        <v>-374503.57297785318</v>
      </c>
      <c r="AG356" s="3">
        <f t="shared" si="92"/>
        <v>5410061.6338129826</v>
      </c>
      <c r="AH356" s="3">
        <f t="shared" si="93"/>
        <v>4.1705449393413335E-2</v>
      </c>
      <c r="AI356" s="3">
        <f t="shared" si="94"/>
        <v>-2.787410072986685E-3</v>
      </c>
    </row>
    <row r="357" spans="19:35" x14ac:dyDescent="0.3">
      <c r="S357" s="6">
        <v>340</v>
      </c>
      <c r="T357" s="4">
        <f t="shared" si="80"/>
        <v>170</v>
      </c>
      <c r="U357" s="3">
        <f t="shared" si="81"/>
        <v>-5432507.5437886864</v>
      </c>
      <c r="V357" s="3">
        <f t="shared" si="82"/>
        <v>361981.79962221649</v>
      </c>
      <c r="W357" s="3">
        <f t="shared" si="83"/>
        <v>-30413.082122988642</v>
      </c>
      <c r="X357" s="3">
        <f t="shared" si="84"/>
        <v>2477.5167578044543</v>
      </c>
      <c r="Y357" s="3">
        <f t="shared" si="85"/>
        <v>5437297.4681903552</v>
      </c>
      <c r="Z357" s="3">
        <f t="shared" si="86"/>
        <v>-353242.80501031055</v>
      </c>
      <c r="AA357" s="3">
        <f t="shared" si="87"/>
        <v>5448759.8806408048</v>
      </c>
      <c r="AB357" s="3">
        <f t="shared" si="88"/>
        <v>5397297.4681903552</v>
      </c>
      <c r="AC357" s="3">
        <f t="shared" si="89"/>
        <v>-350742.80501031055</v>
      </c>
      <c r="AD357" s="3">
        <f t="shared" si="90"/>
        <v>5408681.9536186932</v>
      </c>
      <c r="AE357" s="3">
        <f t="shared" si="91"/>
        <v>5412297.4681903552</v>
      </c>
      <c r="AF357" s="3">
        <f t="shared" si="95"/>
        <v>-375742.80501031055</v>
      </c>
      <c r="AG357" s="3">
        <f t="shared" si="92"/>
        <v>5425324.5561622158</v>
      </c>
      <c r="AH357" s="3">
        <f t="shared" si="93"/>
        <v>4.1471338530181506E-2</v>
      </c>
      <c r="AI357" s="3">
        <f t="shared" si="94"/>
        <v>-2.7734638270495099E-3</v>
      </c>
    </row>
    <row r="358" spans="19:35" x14ac:dyDescent="0.3">
      <c r="S358" s="6">
        <v>341</v>
      </c>
      <c r="T358" s="4">
        <f t="shared" si="80"/>
        <v>170.5</v>
      </c>
      <c r="U358" s="3">
        <f t="shared" si="81"/>
        <v>-5447714.074482346</v>
      </c>
      <c r="V358" s="3">
        <f t="shared" si="82"/>
        <v>363220.55730775278</v>
      </c>
      <c r="W358" s="3">
        <f t="shared" si="83"/>
        <v>-30406.011259769246</v>
      </c>
      <c r="X358" s="3">
        <f t="shared" si="84"/>
        <v>2477.0438822219426</v>
      </c>
      <c r="Y358" s="3">
        <f t="shared" si="85"/>
        <v>5452507.5437886864</v>
      </c>
      <c r="Z358" s="3">
        <f t="shared" si="86"/>
        <v>-354481.79962221649</v>
      </c>
      <c r="AA358" s="3">
        <f t="shared" si="87"/>
        <v>5464018.2888910556</v>
      </c>
      <c r="AB358" s="3">
        <f t="shared" si="88"/>
        <v>5412507.5437886864</v>
      </c>
      <c r="AC358" s="3">
        <f t="shared" si="89"/>
        <v>-351981.79962221649</v>
      </c>
      <c r="AD358" s="3">
        <f t="shared" si="90"/>
        <v>5423940.3664526707</v>
      </c>
      <c r="AE358" s="3">
        <f t="shared" si="91"/>
        <v>5427507.5437886864</v>
      </c>
      <c r="AF358" s="3">
        <f t="shared" si="95"/>
        <v>-376981.79962221649</v>
      </c>
      <c r="AG358" s="3">
        <f t="shared" si="92"/>
        <v>5440583.9222577484</v>
      </c>
      <c r="AH358" s="3">
        <f t="shared" si="93"/>
        <v>4.1239247132930042E-2</v>
      </c>
      <c r="AI358" s="3">
        <f t="shared" si="94"/>
        <v>-2.7596240599355197E-3</v>
      </c>
    </row>
    <row r="359" spans="19:35" x14ac:dyDescent="0.3">
      <c r="S359" s="6">
        <v>342</v>
      </c>
      <c r="T359" s="4">
        <f t="shared" si="80"/>
        <v>171</v>
      </c>
      <c r="U359" s="3">
        <f t="shared" si="81"/>
        <v>-5462917.0698024193</v>
      </c>
      <c r="V359" s="3">
        <f t="shared" si="82"/>
        <v>364459.07855895773</v>
      </c>
      <c r="W359" s="3">
        <f t="shared" si="83"/>
        <v>-30398.959348509514</v>
      </c>
      <c r="X359" s="3">
        <f t="shared" si="84"/>
        <v>2476.5719865076935</v>
      </c>
      <c r="Y359" s="3">
        <f t="shared" si="85"/>
        <v>5467714.074482346</v>
      </c>
      <c r="Z359" s="3">
        <f t="shared" si="86"/>
        <v>-355720.55730775278</v>
      </c>
      <c r="AA359" s="3">
        <f t="shared" si="87"/>
        <v>5479273.1557373265</v>
      </c>
      <c r="AB359" s="3">
        <f t="shared" si="88"/>
        <v>5427714.074482346</v>
      </c>
      <c r="AC359" s="3">
        <f t="shared" si="89"/>
        <v>-353220.55730775278</v>
      </c>
      <c r="AD359" s="3">
        <f t="shared" si="90"/>
        <v>5439195.2379408618</v>
      </c>
      <c r="AE359" s="3">
        <f t="shared" si="91"/>
        <v>5442714.074482346</v>
      </c>
      <c r="AF359" s="3">
        <f t="shared" si="95"/>
        <v>-378220.55730775278</v>
      </c>
      <c r="AG359" s="3">
        <f t="shared" si="92"/>
        <v>5455839.7416473301</v>
      </c>
      <c r="AH359" s="3">
        <f t="shared" si="93"/>
        <v>4.1009151765863304E-2</v>
      </c>
      <c r="AI359" s="3">
        <f t="shared" si="94"/>
        <v>-2.7458896900160751E-3</v>
      </c>
    </row>
    <row r="360" spans="19:35" x14ac:dyDescent="0.3">
      <c r="S360" s="6">
        <v>343</v>
      </c>
      <c r="T360" s="4">
        <f t="shared" si="80"/>
        <v>171.5</v>
      </c>
      <c r="U360" s="3">
        <f t="shared" si="81"/>
        <v>-5478116.5392243862</v>
      </c>
      <c r="V360" s="3">
        <f t="shared" si="82"/>
        <v>365697.3638657392</v>
      </c>
      <c r="W360" s="3">
        <f t="shared" si="83"/>
        <v>-30391.926278981668</v>
      </c>
      <c r="X360" s="3">
        <f t="shared" si="84"/>
        <v>2476.1010664258556</v>
      </c>
      <c r="Y360" s="3">
        <f t="shared" si="85"/>
        <v>5482917.0698024193</v>
      </c>
      <c r="Z360" s="3">
        <f t="shared" si="86"/>
        <v>-356959.07855895773</v>
      </c>
      <c r="AA360" s="3">
        <f t="shared" si="87"/>
        <v>5494524.4906266825</v>
      </c>
      <c r="AB360" s="3">
        <f t="shared" si="88"/>
        <v>5442917.0698024193</v>
      </c>
      <c r="AC360" s="3">
        <f t="shared" si="89"/>
        <v>-354459.07855895773</v>
      </c>
      <c r="AD360" s="3">
        <f t="shared" si="90"/>
        <v>5454446.5775291463</v>
      </c>
      <c r="AE360" s="3">
        <f t="shared" si="91"/>
        <v>5457917.0698024193</v>
      </c>
      <c r="AF360" s="3">
        <f t="shared" si="95"/>
        <v>-379459.07855895773</v>
      </c>
      <c r="AG360" s="3">
        <f t="shared" si="92"/>
        <v>5471092.0238231635</v>
      </c>
      <c r="AH360" s="3">
        <f t="shared" si="93"/>
        <v>4.0781029334419669E-2</v>
      </c>
      <c r="AI360" s="3">
        <f t="shared" si="94"/>
        <v>-2.7322596492373322E-3</v>
      </c>
    </row>
    <row r="361" spans="19:35" x14ac:dyDescent="0.3">
      <c r="S361" s="6">
        <v>344</v>
      </c>
      <c r="T361" s="4">
        <f t="shared" si="80"/>
        <v>172</v>
      </c>
      <c r="U361" s="3">
        <f t="shared" si="81"/>
        <v>-5493312.4921686202</v>
      </c>
      <c r="V361" s="3">
        <f t="shared" si="82"/>
        <v>366935.41371588723</v>
      </c>
      <c r="W361" s="3">
        <f t="shared" si="83"/>
        <v>-30384.911941936149</v>
      </c>
      <c r="X361" s="3">
        <f t="shared" si="84"/>
        <v>2475.6311177661869</v>
      </c>
      <c r="Y361" s="3">
        <f t="shared" si="85"/>
        <v>5498116.5392243862</v>
      </c>
      <c r="Z361" s="3">
        <f t="shared" si="86"/>
        <v>-358197.3638657392</v>
      </c>
      <c r="AA361" s="3">
        <f t="shared" si="87"/>
        <v>5509772.3029516479</v>
      </c>
      <c r="AB361" s="3">
        <f t="shared" si="88"/>
        <v>5458116.5392243862</v>
      </c>
      <c r="AC361" s="3">
        <f t="shared" si="89"/>
        <v>-355697.3638657392</v>
      </c>
      <c r="AD361" s="3">
        <f t="shared" si="90"/>
        <v>5469694.3946088823</v>
      </c>
      <c r="AE361" s="3">
        <f t="shared" si="91"/>
        <v>5473116.5392243862</v>
      </c>
      <c r="AF361" s="3">
        <f t="shared" si="95"/>
        <v>-380697.3638657392</v>
      </c>
      <c r="AG361" s="3">
        <f t="shared" si="92"/>
        <v>5486340.7782223886</v>
      </c>
      <c r="AH361" s="3">
        <f t="shared" si="93"/>
        <v>4.0554857079302328E-2</v>
      </c>
      <c r="AI361" s="3">
        <f t="shared" si="94"/>
        <v>-2.7187328829198719E-3</v>
      </c>
    </row>
    <row r="362" spans="19:35" x14ac:dyDescent="0.3">
      <c r="S362" s="6">
        <v>345</v>
      </c>
      <c r="T362" s="4">
        <f t="shared" si="80"/>
        <v>172.5</v>
      </c>
      <c r="U362" s="3">
        <f t="shared" si="81"/>
        <v>-5508504.9380008737</v>
      </c>
      <c r="V362" s="3">
        <f t="shared" si="82"/>
        <v>368173.22859508707</v>
      </c>
      <c r="W362" s="3">
        <f t="shared" si="83"/>
        <v>-30377.916229089969</v>
      </c>
      <c r="X362" s="3">
        <f t="shared" si="84"/>
        <v>2475.162136343883</v>
      </c>
      <c r="Y362" s="3">
        <f t="shared" si="85"/>
        <v>5513312.4921686202</v>
      </c>
      <c r="Z362" s="3">
        <f t="shared" si="86"/>
        <v>-359435.41371588723</v>
      </c>
      <c r="AA362" s="3">
        <f t="shared" si="87"/>
        <v>5525016.6020506825</v>
      </c>
      <c r="AB362" s="3">
        <f t="shared" si="88"/>
        <v>5473312.4921686202</v>
      </c>
      <c r="AC362" s="3">
        <f t="shared" si="89"/>
        <v>-356935.41371588723</v>
      </c>
      <c r="AD362" s="3">
        <f t="shared" si="90"/>
        <v>5484938.6985173868</v>
      </c>
      <c r="AE362" s="3">
        <f t="shared" si="91"/>
        <v>5488312.4921686202</v>
      </c>
      <c r="AF362" s="3">
        <f t="shared" si="95"/>
        <v>-381935.41371588723</v>
      </c>
      <c r="AG362" s="3">
        <f t="shared" si="92"/>
        <v>5501586.0142275756</v>
      </c>
      <c r="AH362" s="3">
        <f t="shared" si="93"/>
        <v>4.0330612570630753E-2</v>
      </c>
      <c r="AI362" s="3">
        <f t="shared" si="94"/>
        <v>-2.7053083495616132E-3</v>
      </c>
    </row>
    <row r="363" spans="19:35" x14ac:dyDescent="0.3">
      <c r="S363" s="6">
        <v>346</v>
      </c>
      <c r="T363" s="4">
        <f t="shared" si="80"/>
        <v>173</v>
      </c>
      <c r="U363" s="3">
        <f t="shared" si="81"/>
        <v>-5523693.8860327657</v>
      </c>
      <c r="V363" s="3">
        <f t="shared" si="82"/>
        <v>369410.80898693192</v>
      </c>
      <c r="W363" s="3">
        <f t="shared" si="83"/>
        <v>-30370.93903311525</v>
      </c>
      <c r="X363" s="3">
        <f t="shared" si="84"/>
        <v>2474.6941179994087</v>
      </c>
      <c r="Y363" s="3">
        <f t="shared" si="85"/>
        <v>5528504.9380008737</v>
      </c>
      <c r="Z363" s="3">
        <f t="shared" si="86"/>
        <v>-360673.22859508707</v>
      </c>
      <c r="AA363" s="3">
        <f t="shared" si="87"/>
        <v>5540257.3972086571</v>
      </c>
      <c r="AB363" s="3">
        <f t="shared" si="88"/>
        <v>5488504.9380008737</v>
      </c>
      <c r="AC363" s="3">
        <f t="shared" si="89"/>
        <v>-358173.22859508707</v>
      </c>
      <c r="AD363" s="3">
        <f t="shared" si="90"/>
        <v>5500179.4985384066</v>
      </c>
      <c r="AE363" s="3">
        <f t="shared" si="91"/>
        <v>5503504.9380008737</v>
      </c>
      <c r="AF363" s="3">
        <f t="shared" si="95"/>
        <v>-383173.22859508707</v>
      </c>
      <c r="AG363" s="3">
        <f t="shared" si="92"/>
        <v>5516827.7411671998</v>
      </c>
      <c r="AH363" s="3">
        <f t="shared" si="93"/>
        <v>4.0108273702211164E-2</v>
      </c>
      <c r="AI363" s="3">
        <f t="shared" si="94"/>
        <v>-2.691985020643997E-3</v>
      </c>
    </row>
    <row r="364" spans="19:35" x14ac:dyDescent="0.3">
      <c r="S364" s="6">
        <v>347</v>
      </c>
      <c r="T364" s="4">
        <f t="shared" si="80"/>
        <v>173.5</v>
      </c>
      <c r="U364" s="3">
        <f t="shared" si="81"/>
        <v>-5538879.3455222547</v>
      </c>
      <c r="V364" s="3">
        <f t="shared" si="82"/>
        <v>370648.15537293535</v>
      </c>
      <c r="W364" s="3">
        <f t="shared" si="83"/>
        <v>-30363.980247627915</v>
      </c>
      <c r="X364" s="3">
        <f t="shared" si="84"/>
        <v>2474.2270585983269</v>
      </c>
      <c r="Y364" s="3">
        <f t="shared" si="85"/>
        <v>5543693.8860327657</v>
      </c>
      <c r="Z364" s="3">
        <f t="shared" si="86"/>
        <v>-361910.80898693192</v>
      </c>
      <c r="AA364" s="3">
        <f t="shared" si="87"/>
        <v>5555494.6976573234</v>
      </c>
      <c r="AB364" s="3">
        <f t="shared" si="88"/>
        <v>5503693.8860327657</v>
      </c>
      <c r="AC364" s="3">
        <f t="shared" si="89"/>
        <v>-359410.80898693192</v>
      </c>
      <c r="AD364" s="3">
        <f t="shared" si="90"/>
        <v>5515416.8039025925</v>
      </c>
      <c r="AE364" s="3">
        <f t="shared" si="91"/>
        <v>5518693.8860327657</v>
      </c>
      <c r="AF364" s="3">
        <f t="shared" si="95"/>
        <v>-384410.80898693192</v>
      </c>
      <c r="AG364" s="3">
        <f t="shared" si="92"/>
        <v>5532065.9683161248</v>
      </c>
      <c r="AH364" s="3">
        <f t="shared" si="93"/>
        <v>3.9887818685924337E-2</v>
      </c>
      <c r="AI364" s="3">
        <f t="shared" si="94"/>
        <v>-2.6787618804414814E-3</v>
      </c>
    </row>
    <row r="365" spans="19:35" x14ac:dyDescent="0.3">
      <c r="S365" s="6">
        <v>348</v>
      </c>
      <c r="T365" s="4">
        <f t="shared" si="80"/>
        <v>174</v>
      </c>
      <c r="U365" s="3">
        <f t="shared" si="81"/>
        <v>-5554061.3256741138</v>
      </c>
      <c r="V365" s="3">
        <f t="shared" si="82"/>
        <v>371885.26823254401</v>
      </c>
      <c r="W365" s="3">
        <f t="shared" si="83"/>
        <v>-30357.039767176564</v>
      </c>
      <c r="X365" s="3">
        <f t="shared" si="84"/>
        <v>2473.76095403113</v>
      </c>
      <c r="Y365" s="3">
        <f t="shared" si="85"/>
        <v>5558879.3455222547</v>
      </c>
      <c r="Z365" s="3">
        <f t="shared" si="86"/>
        <v>-363148.15537293535</v>
      </c>
      <c r="AA365" s="3">
        <f t="shared" si="87"/>
        <v>5570728.5125757745</v>
      </c>
      <c r="AB365" s="3">
        <f t="shared" si="88"/>
        <v>5518879.3455222547</v>
      </c>
      <c r="AC365" s="3">
        <f t="shared" si="89"/>
        <v>-360648.15537293535</v>
      </c>
      <c r="AD365" s="3">
        <f t="shared" si="90"/>
        <v>5530650.6237879517</v>
      </c>
      <c r="AE365" s="3">
        <f t="shared" si="91"/>
        <v>5533879.3455222547</v>
      </c>
      <c r="AF365" s="3">
        <f t="shared" si="95"/>
        <v>-385648.15537293535</v>
      </c>
      <c r="AG365" s="3">
        <f t="shared" si="92"/>
        <v>5547300.7048960635</v>
      </c>
      <c r="AH365" s="3">
        <f t="shared" si="93"/>
        <v>3.9669226046225192E-2</v>
      </c>
      <c r="AI365" s="3">
        <f t="shared" si="94"/>
        <v>-2.6656379258340962E-3</v>
      </c>
    </row>
    <row r="366" spans="19:35" x14ac:dyDescent="0.3">
      <c r="S366" s="6">
        <v>349</v>
      </c>
      <c r="T366" s="4">
        <f t="shared" si="80"/>
        <v>174.5</v>
      </c>
      <c r="U366" s="3">
        <f t="shared" si="81"/>
        <v>-5569239.8356403951</v>
      </c>
      <c r="V366" s="3">
        <f t="shared" si="82"/>
        <v>373122.14804315008</v>
      </c>
      <c r="W366" s="3">
        <f t="shared" si="83"/>
        <v>-30350.117487231499</v>
      </c>
      <c r="X366" s="3">
        <f t="shared" si="84"/>
        <v>2473.2958002130722</v>
      </c>
      <c r="Y366" s="3">
        <f t="shared" si="85"/>
        <v>5574061.3256741138</v>
      </c>
      <c r="Z366" s="3">
        <f t="shared" si="86"/>
        <v>-364385.26823254401</v>
      </c>
      <c r="AA366" s="3">
        <f t="shared" si="87"/>
        <v>5585958.8510908997</v>
      </c>
      <c r="AB366" s="3">
        <f t="shared" si="88"/>
        <v>5534061.3256741138</v>
      </c>
      <c r="AC366" s="3">
        <f t="shared" si="89"/>
        <v>-361885.26823254401</v>
      </c>
      <c r="AD366" s="3">
        <f t="shared" si="90"/>
        <v>5545880.9673203109</v>
      </c>
      <c r="AE366" s="3">
        <f t="shared" si="91"/>
        <v>5549061.3256741138</v>
      </c>
      <c r="AF366" s="3">
        <f t="shared" si="95"/>
        <v>-386885.26823254401</v>
      </c>
      <c r="AG366" s="3">
        <f t="shared" si="92"/>
        <v>5562531.9600760518</v>
      </c>
      <c r="AH366" s="3">
        <f t="shared" si="93"/>
        <v>3.9452474614755033E-2</v>
      </c>
      <c r="AI366" s="3">
        <f t="shared" si="94"/>
        <v>-2.6526121661232119E-3</v>
      </c>
    </row>
    <row r="367" spans="19:35" x14ac:dyDescent="0.3">
      <c r="S367" s="6">
        <v>350</v>
      </c>
      <c r="T367" s="4">
        <f t="shared" si="80"/>
        <v>175</v>
      </c>
      <c r="U367" s="3">
        <f t="shared" si="81"/>
        <v>-5584414.8845208921</v>
      </c>
      <c r="V367" s="3">
        <f t="shared" si="82"/>
        <v>374358.79528010357</v>
      </c>
      <c r="W367" s="3">
        <f t="shared" si="83"/>
        <v>-30343.213304173918</v>
      </c>
      <c r="X367" s="3">
        <f t="shared" si="84"/>
        <v>2472.8315930840008</v>
      </c>
      <c r="Y367" s="3">
        <f t="shared" si="85"/>
        <v>5589239.8356403951</v>
      </c>
      <c r="Z367" s="3">
        <f t="shared" si="86"/>
        <v>-365622.14804315008</v>
      </c>
      <c r="AA367" s="3">
        <f t="shared" si="87"/>
        <v>5601185.7222778425</v>
      </c>
      <c r="AB367" s="3">
        <f t="shared" si="88"/>
        <v>5549239.8356403951</v>
      </c>
      <c r="AC367" s="3">
        <f t="shared" si="89"/>
        <v>-363122.14804315008</v>
      </c>
      <c r="AD367" s="3">
        <f t="shared" si="90"/>
        <v>5561107.8435737705</v>
      </c>
      <c r="AE367" s="3">
        <f t="shared" si="91"/>
        <v>5564239.8356403951</v>
      </c>
      <c r="AF367" s="3">
        <f t="shared" si="95"/>
        <v>-388122.14804315008</v>
      </c>
      <c r="AG367" s="3">
        <f t="shared" si="92"/>
        <v>5577759.7429728974</v>
      </c>
      <c r="AH367" s="3">
        <f t="shared" si="93"/>
        <v>3.9237543525061883E-2</v>
      </c>
      <c r="AI367" s="3">
        <f t="shared" si="94"/>
        <v>-2.6396836228503471E-3</v>
      </c>
    </row>
    <row r="368" spans="19:35" x14ac:dyDescent="0.3">
      <c r="S368" s="6">
        <v>351</v>
      </c>
      <c r="T368" s="4">
        <f t="shared" si="80"/>
        <v>175.5</v>
      </c>
      <c r="U368" s="3">
        <f t="shared" si="81"/>
        <v>-5599586.4813635927</v>
      </c>
      <c r="V368" s="3">
        <f t="shared" si="82"/>
        <v>375595.21041672467</v>
      </c>
      <c r="W368" s="3">
        <f t="shared" si="83"/>
        <v>-30336.327115285269</v>
      </c>
      <c r="X368" s="3">
        <f t="shared" si="84"/>
        <v>2472.3683286081905</v>
      </c>
      <c r="Y368" s="3">
        <f t="shared" si="85"/>
        <v>5604414.8845208921</v>
      </c>
      <c r="Z368" s="3">
        <f t="shared" si="86"/>
        <v>-366858.79528010357</v>
      </c>
      <c r="AA368" s="3">
        <f t="shared" si="87"/>
        <v>5616409.1351604443</v>
      </c>
      <c r="AB368" s="3">
        <f t="shared" si="88"/>
        <v>5564414.8845208921</v>
      </c>
      <c r="AC368" s="3">
        <f t="shared" si="89"/>
        <v>-364358.79528010357</v>
      </c>
      <c r="AD368" s="3">
        <f t="shared" si="90"/>
        <v>5576331.2615711438</v>
      </c>
      <c r="AE368" s="3">
        <f t="shared" si="91"/>
        <v>5579414.8845208921</v>
      </c>
      <c r="AF368" s="3">
        <f t="shared" si="95"/>
        <v>-389358.79528010357</v>
      </c>
      <c r="AG368" s="3">
        <f t="shared" si="92"/>
        <v>5592984.0626516407</v>
      </c>
      <c r="AH368" s="3">
        <f t="shared" si="93"/>
        <v>3.9024412207425613E-2</v>
      </c>
      <c r="AI368" s="3">
        <f t="shared" si="94"/>
        <v>-2.6268513296189141E-3</v>
      </c>
    </row>
    <row r="369" spans="19:35" x14ac:dyDescent="0.3">
      <c r="S369" s="6">
        <v>352</v>
      </c>
      <c r="T369" s="4">
        <f t="shared" si="80"/>
        <v>176</v>
      </c>
      <c r="U369" s="3">
        <f t="shared" si="81"/>
        <v>-5614754.6351651326</v>
      </c>
      <c r="V369" s="3">
        <f t="shared" si="82"/>
        <v>376831.39392431593</v>
      </c>
      <c r="W369" s="3">
        <f t="shared" si="83"/>
        <v>-30329.458818736763</v>
      </c>
      <c r="X369" s="3">
        <f t="shared" si="84"/>
        <v>2471.9060027741775</v>
      </c>
      <c r="Y369" s="3">
        <f t="shared" si="85"/>
        <v>5619586.4813635927</v>
      </c>
      <c r="Z369" s="3">
        <f t="shared" si="86"/>
        <v>-368095.21041672467</v>
      </c>
      <c r="AA369" s="3">
        <f t="shared" si="87"/>
        <v>5631629.0987116843</v>
      </c>
      <c r="AB369" s="3">
        <f t="shared" si="88"/>
        <v>5579586.4813635927</v>
      </c>
      <c r="AC369" s="3">
        <f t="shared" si="89"/>
        <v>-365595.21041672467</v>
      </c>
      <c r="AD369" s="3">
        <f t="shared" si="90"/>
        <v>5591551.2302844012</v>
      </c>
      <c r="AE369" s="3">
        <f t="shared" si="91"/>
        <v>5594586.4813635927</v>
      </c>
      <c r="AF369" s="3">
        <f t="shared" si="95"/>
        <v>-390595.21041672467</v>
      </c>
      <c r="AG369" s="3">
        <f t="shared" si="92"/>
        <v>5608204.9281259999</v>
      </c>
      <c r="AH369" s="3">
        <f t="shared" si="93"/>
        <v>3.8813060383786929E-2</v>
      </c>
      <c r="AI369" s="3">
        <f t="shared" si="94"/>
        <v>-2.614114331918928E-3</v>
      </c>
    </row>
    <row r="370" spans="19:35" x14ac:dyDescent="0.3">
      <c r="S370" s="6">
        <v>353</v>
      </c>
      <c r="T370" s="4">
        <f t="shared" si="80"/>
        <v>176.5</v>
      </c>
      <c r="U370" s="3">
        <f t="shared" si="81"/>
        <v>-5629919.3548712358</v>
      </c>
      <c r="V370" s="3">
        <f t="shared" si="82"/>
        <v>378067.34627217439</v>
      </c>
      <c r="W370" s="3">
        <f t="shared" si="83"/>
        <v>-30322.608313579025</v>
      </c>
      <c r="X370" s="3">
        <f t="shared" si="84"/>
        <v>2471.4446115945939</v>
      </c>
      <c r="Y370" s="3">
        <f t="shared" si="85"/>
        <v>5634754.6351651326</v>
      </c>
      <c r="Z370" s="3">
        <f t="shared" si="86"/>
        <v>-369331.39392431593</v>
      </c>
      <c r="AA370" s="3">
        <f t="shared" si="87"/>
        <v>5646845.6218541181</v>
      </c>
      <c r="AB370" s="3">
        <f t="shared" si="88"/>
        <v>5594754.6351651326</v>
      </c>
      <c r="AC370" s="3">
        <f t="shared" si="89"/>
        <v>-366831.39392431593</v>
      </c>
      <c r="AD370" s="3">
        <f t="shared" si="90"/>
        <v>5606767.7586351112</v>
      </c>
      <c r="AE370" s="3">
        <f t="shared" si="91"/>
        <v>5609754.6351651326</v>
      </c>
      <c r="AF370" s="3">
        <f t="shared" si="95"/>
        <v>-391831.39392431593</v>
      </c>
      <c r="AG370" s="3">
        <f t="shared" si="92"/>
        <v>5623422.3483588146</v>
      </c>
      <c r="AH370" s="3">
        <f t="shared" si="93"/>
        <v>3.8603468062778715E-2</v>
      </c>
      <c r="AI370" s="3">
        <f t="shared" si="94"/>
        <v>-2.6014716869546964E-3</v>
      </c>
    </row>
    <row r="371" spans="19:35" x14ac:dyDescent="0.3">
      <c r="S371" s="6">
        <v>354</v>
      </c>
      <c r="T371" s="4">
        <f t="shared" si="80"/>
        <v>177</v>
      </c>
      <c r="U371" s="3">
        <f t="shared" si="81"/>
        <v>-5645080.6493771579</v>
      </c>
      <c r="V371" s="3">
        <f t="shared" si="82"/>
        <v>379303.06792760373</v>
      </c>
      <c r="W371" s="3">
        <f t="shared" si="83"/>
        <v>-30315.775499731913</v>
      </c>
      <c r="X371" s="3">
        <f t="shared" si="84"/>
        <v>2470.9841511060031</v>
      </c>
      <c r="Y371" s="3">
        <f t="shared" si="85"/>
        <v>5649919.3548712358</v>
      </c>
      <c r="Z371" s="3">
        <f t="shared" si="86"/>
        <v>-370567.34627217439</v>
      </c>
      <c r="AA371" s="3">
        <f t="shared" si="87"/>
        <v>5662058.7134603085</v>
      </c>
      <c r="AB371" s="3">
        <f t="shared" si="88"/>
        <v>5609919.3548712358</v>
      </c>
      <c r="AC371" s="3">
        <f t="shared" si="89"/>
        <v>-368067.34627217439</v>
      </c>
      <c r="AD371" s="3">
        <f t="shared" si="90"/>
        <v>5621980.8554948624</v>
      </c>
      <c r="AE371" s="3">
        <f t="shared" si="91"/>
        <v>5624919.3548712358</v>
      </c>
      <c r="AF371" s="3">
        <f t="shared" si="95"/>
        <v>-393067.34627217439</v>
      </c>
      <c r="AG371" s="3">
        <f t="shared" si="92"/>
        <v>5638636.3322624816</v>
      </c>
      <c r="AH371" s="3">
        <f t="shared" si="93"/>
        <v>3.8395615534854502E-2</v>
      </c>
      <c r="AI371" s="3">
        <f t="shared" si="94"/>
        <v>-2.5889224634752317E-3</v>
      </c>
    </row>
    <row r="372" spans="19:35" x14ac:dyDescent="0.3">
      <c r="S372" s="6">
        <v>355</v>
      </c>
      <c r="T372" s="4">
        <f t="shared" si="80"/>
        <v>177.5</v>
      </c>
      <c r="U372" s="3">
        <f t="shared" si="81"/>
        <v>-5660238.5275281193</v>
      </c>
      <c r="V372" s="3">
        <f t="shared" si="82"/>
        <v>380538.55935592612</v>
      </c>
      <c r="W372" s="3">
        <f t="shared" si="83"/>
        <v>-30308.960277974478</v>
      </c>
      <c r="X372" s="3">
        <f t="shared" si="84"/>
        <v>2470.524617368736</v>
      </c>
      <c r="Y372" s="3">
        <f t="shared" si="85"/>
        <v>5665080.6493771579</v>
      </c>
      <c r="Z372" s="3">
        <f t="shared" si="86"/>
        <v>-371803.06792760373</v>
      </c>
      <c r="AA372" s="3">
        <f t="shared" si="87"/>
        <v>5677268.3823532509</v>
      </c>
      <c r="AB372" s="3">
        <f t="shared" si="88"/>
        <v>5625080.6493771579</v>
      </c>
      <c r="AC372" s="3">
        <f t="shared" si="89"/>
        <v>-369303.06792760373</v>
      </c>
      <c r="AD372" s="3">
        <f t="shared" si="90"/>
        <v>5637190.5296856957</v>
      </c>
      <c r="AE372" s="3">
        <f t="shared" si="91"/>
        <v>5640080.6493771579</v>
      </c>
      <c r="AF372" s="3">
        <f t="shared" si="95"/>
        <v>-394303.06792760373</v>
      </c>
      <c r="AG372" s="3">
        <f t="shared" si="92"/>
        <v>5653846.8886993909</v>
      </c>
      <c r="AH372" s="3">
        <f t="shared" si="93"/>
        <v>3.8189483367515015E-2</v>
      </c>
      <c r="AI372" s="3">
        <f t="shared" si="94"/>
        <v>-2.5764657416075657E-3</v>
      </c>
    </row>
    <row r="373" spans="19:35" x14ac:dyDescent="0.3">
      <c r="S373" s="6">
        <v>356</v>
      </c>
      <c r="T373" s="4">
        <f t="shared" si="80"/>
        <v>178</v>
      </c>
      <c r="U373" s="3">
        <f t="shared" si="81"/>
        <v>-5675392.9981197361</v>
      </c>
      <c r="V373" s="3">
        <f t="shared" si="82"/>
        <v>381773.82102049404</v>
      </c>
      <c r="W373" s="3">
        <f t="shared" si="83"/>
        <v>-30302.162549935059</v>
      </c>
      <c r="X373" s="3">
        <f t="shared" si="84"/>
        <v>2470.06600646673</v>
      </c>
      <c r="Y373" s="3">
        <f t="shared" si="85"/>
        <v>5680238.5275281193</v>
      </c>
      <c r="Z373" s="3">
        <f t="shared" si="86"/>
        <v>-373038.55935592612</v>
      </c>
      <c r="AA373" s="3">
        <f t="shared" si="87"/>
        <v>5692474.6373067982</v>
      </c>
      <c r="AB373" s="3">
        <f t="shared" si="88"/>
        <v>5640238.5275281193</v>
      </c>
      <c r="AC373" s="3">
        <f t="shared" si="89"/>
        <v>-370538.55935592612</v>
      </c>
      <c r="AD373" s="3">
        <f t="shared" si="90"/>
        <v>5652396.7899805242</v>
      </c>
      <c r="AE373" s="3">
        <f t="shared" si="91"/>
        <v>5655238.5275281193</v>
      </c>
      <c r="AF373" s="3">
        <f t="shared" si="95"/>
        <v>-395538.55935592612</v>
      </c>
      <c r="AG373" s="3">
        <f t="shared" si="92"/>
        <v>5669054.0264823521</v>
      </c>
      <c r="AH373" s="3">
        <f t="shared" si="93"/>
        <v>3.7985052400627162E-2</v>
      </c>
      <c r="AI373" s="3">
        <f t="shared" si="94"/>
        <v>-2.5641006126926576E-3</v>
      </c>
    </row>
    <row r="374" spans="19:35" x14ac:dyDescent="0.3">
      <c r="S374" s="6">
        <v>357</v>
      </c>
      <c r="T374" s="4">
        <f t="shared" si="80"/>
        <v>178.5</v>
      </c>
      <c r="U374" s="3">
        <f t="shared" si="81"/>
        <v>-5690544.0698984405</v>
      </c>
      <c r="V374" s="3">
        <f t="shared" si="82"/>
        <v>383008.85338270228</v>
      </c>
      <c r="W374" s="3">
        <f t="shared" si="83"/>
        <v>-30295.382218081548</v>
      </c>
      <c r="X374" s="3">
        <f t="shared" si="84"/>
        <v>2469.6083145073644</v>
      </c>
      <c r="Y374" s="3">
        <f t="shared" si="85"/>
        <v>5695392.9981197361</v>
      </c>
      <c r="Z374" s="3">
        <f t="shared" si="86"/>
        <v>-374273.82102049404</v>
      </c>
      <c r="AA374" s="3">
        <f t="shared" si="87"/>
        <v>5707677.4870460751</v>
      </c>
      <c r="AB374" s="3">
        <f t="shared" si="88"/>
        <v>5655392.9981197361</v>
      </c>
      <c r="AC374" s="3">
        <f t="shared" si="89"/>
        <v>-371773.82102049404</v>
      </c>
      <c r="AD374" s="3">
        <f t="shared" si="90"/>
        <v>5667599.6451035524</v>
      </c>
      <c r="AE374" s="3">
        <f t="shared" si="91"/>
        <v>5670392.9981197361</v>
      </c>
      <c r="AF374" s="3">
        <f t="shared" si="95"/>
        <v>-396773.82102049404</v>
      </c>
      <c r="AG374" s="3">
        <f t="shared" si="92"/>
        <v>5684257.7543750191</v>
      </c>
      <c r="AH374" s="3">
        <f t="shared" si="93"/>
        <v>3.7782303741837039E-2</v>
      </c>
      <c r="AI374" s="3">
        <f t="shared" si="94"/>
        <v>-2.5518261791241258E-3</v>
      </c>
    </row>
    <row r="375" spans="19:35" x14ac:dyDescent="0.3">
      <c r="S375" s="6">
        <v>358</v>
      </c>
      <c r="T375" s="4">
        <f t="shared" si="80"/>
        <v>179</v>
      </c>
      <c r="U375" s="3">
        <f t="shared" si="81"/>
        <v>-5705691.7515619053</v>
      </c>
      <c r="V375" s="3">
        <f t="shared" si="82"/>
        <v>384243.65690199943</v>
      </c>
      <c r="W375" s="3">
        <f t="shared" si="83"/>
        <v>-30288.619185711759</v>
      </c>
      <c r="X375" s="3">
        <f t="shared" si="84"/>
        <v>2469.151537621301</v>
      </c>
      <c r="Y375" s="3">
        <f t="shared" si="85"/>
        <v>5710544.0698984405</v>
      </c>
      <c r="Z375" s="3">
        <f t="shared" si="86"/>
        <v>-375508.85338270228</v>
      </c>
      <c r="AA375" s="3">
        <f t="shared" si="87"/>
        <v>5722876.9402478887</v>
      </c>
      <c r="AB375" s="3">
        <f t="shared" si="88"/>
        <v>5670544.0698984405</v>
      </c>
      <c r="AC375" s="3">
        <f t="shared" si="89"/>
        <v>-373008.85338270228</v>
      </c>
      <c r="AD375" s="3">
        <f t="shared" si="90"/>
        <v>5682799.1037306823</v>
      </c>
      <c r="AE375" s="3">
        <f t="shared" si="91"/>
        <v>5685544.0698984405</v>
      </c>
      <c r="AF375" s="3">
        <f t="shared" si="95"/>
        <v>-398008.85338270228</v>
      </c>
      <c r="AG375" s="3">
        <f t="shared" si="92"/>
        <v>5699458.0810923008</v>
      </c>
      <c r="AH375" s="3">
        <f t="shared" si="93"/>
        <v>3.7581218762072405E-2</v>
      </c>
      <c r="AI375" s="3">
        <f t="shared" si="94"/>
        <v>-2.5396415541895615E-3</v>
      </c>
    </row>
    <row r="376" spans="19:35" x14ac:dyDescent="0.3">
      <c r="S376" s="6">
        <v>359</v>
      </c>
      <c r="T376" s="4">
        <f t="shared" si="80"/>
        <v>179.5</v>
      </c>
      <c r="U376" s="3">
        <f t="shared" si="81"/>
        <v>-5720836.0517594563</v>
      </c>
      <c r="V376" s="3">
        <f t="shared" si="82"/>
        <v>385478.23203589971</v>
      </c>
      <c r="W376" s="3">
        <f t="shared" si="83"/>
        <v>-30281.873356943968</v>
      </c>
      <c r="X376" s="3">
        <f t="shared" si="84"/>
        <v>2468.695671962324</v>
      </c>
      <c r="Y376" s="3">
        <f t="shared" si="85"/>
        <v>5725691.7515619053</v>
      </c>
      <c r="Z376" s="3">
        <f t="shared" si="86"/>
        <v>-376743.65690199943</v>
      </c>
      <c r="AA376" s="3">
        <f t="shared" si="87"/>
        <v>5738073.0055411402</v>
      </c>
      <c r="AB376" s="3">
        <f t="shared" si="88"/>
        <v>5685691.7515619053</v>
      </c>
      <c r="AC376" s="3">
        <f t="shared" si="89"/>
        <v>-374243.65690199943</v>
      </c>
      <c r="AD376" s="3">
        <f t="shared" si="90"/>
        <v>5697995.1744899247</v>
      </c>
      <c r="AE376" s="3">
        <f t="shared" si="91"/>
        <v>5700691.7515619053</v>
      </c>
      <c r="AF376" s="3">
        <f t="shared" si="95"/>
        <v>-399243.65690199943</v>
      </c>
      <c r="AG376" s="3">
        <f t="shared" si="92"/>
        <v>5714655.0153007852</v>
      </c>
      <c r="AH376" s="3">
        <f t="shared" si="93"/>
        <v>3.738177909113391E-2</v>
      </c>
      <c r="AI376" s="3">
        <f t="shared" si="94"/>
        <v>-2.5275458619144859E-3</v>
      </c>
    </row>
    <row r="377" spans="19:35" x14ac:dyDescent="0.3">
      <c r="S377" s="6">
        <v>360</v>
      </c>
      <c r="T377" s="4">
        <f t="shared" si="80"/>
        <v>180</v>
      </c>
      <c r="U377" s="3">
        <f t="shared" si="81"/>
        <v>-5735976.9790924834</v>
      </c>
      <c r="V377" s="3">
        <f t="shared" si="82"/>
        <v>386712.5792399944</v>
      </c>
      <c r="W377" s="3">
        <f t="shared" si="83"/>
        <v>-30275.144636707566</v>
      </c>
      <c r="X377" s="3">
        <f t="shared" si="84"/>
        <v>2468.2407137071796</v>
      </c>
      <c r="Y377" s="3">
        <f t="shared" si="85"/>
        <v>5740836.0517594563</v>
      </c>
      <c r="Z377" s="3">
        <f t="shared" si="86"/>
        <v>-377978.23203589971</v>
      </c>
      <c r="AA377" s="3">
        <f t="shared" si="87"/>
        <v>5753265.6915072231</v>
      </c>
      <c r="AB377" s="3">
        <f t="shared" si="88"/>
        <v>5700836.0517594563</v>
      </c>
      <c r="AC377" s="3">
        <f t="shared" si="89"/>
        <v>-375478.23203589971</v>
      </c>
      <c r="AD377" s="3">
        <f t="shared" si="90"/>
        <v>5713187.8659618003</v>
      </c>
      <c r="AE377" s="3">
        <f t="shared" si="91"/>
        <v>5715836.0517594563</v>
      </c>
      <c r="AF377" s="3">
        <f t="shared" si="95"/>
        <v>-400478.23203589971</v>
      </c>
      <c r="AG377" s="3">
        <f t="shared" si="92"/>
        <v>5729848.5656191409</v>
      </c>
      <c r="AH377" s="3">
        <f t="shared" si="93"/>
        <v>3.718396661337052E-2</v>
      </c>
      <c r="AI377" s="3">
        <f t="shared" si="94"/>
        <v>-2.5155382369087126E-3</v>
      </c>
    </row>
    <row r="378" spans="19:35" x14ac:dyDescent="0.3">
      <c r="S378" s="6">
        <v>361</v>
      </c>
      <c r="T378" s="4">
        <f t="shared" si="80"/>
        <v>180.5</v>
      </c>
      <c r="U378" s="3">
        <f t="shared" si="81"/>
        <v>-5751114.5421148455</v>
      </c>
      <c r="V378" s="3">
        <f t="shared" si="82"/>
        <v>387946.69896796346</v>
      </c>
      <c r="W378" s="3">
        <f t="shared" si="83"/>
        <v>-30268.432930733852</v>
      </c>
      <c r="X378" s="3">
        <f t="shared" si="84"/>
        <v>2467.7866590554177</v>
      </c>
      <c r="Y378" s="3">
        <f t="shared" si="85"/>
        <v>5755976.9790924834</v>
      </c>
      <c r="Z378" s="3">
        <f t="shared" si="86"/>
        <v>-379212.5792399944</v>
      </c>
      <c r="AA378" s="3">
        <f t="shared" si="87"/>
        <v>5768455.0066804262</v>
      </c>
      <c r="AB378" s="3">
        <f t="shared" si="88"/>
        <v>5715976.9790924834</v>
      </c>
      <c r="AC378" s="3">
        <f t="shared" si="89"/>
        <v>-376712.5792399944</v>
      </c>
      <c r="AD378" s="3">
        <f t="shared" si="90"/>
        <v>5728377.1866797395</v>
      </c>
      <c r="AE378" s="3">
        <f t="shared" si="91"/>
        <v>5730976.9790924834</v>
      </c>
      <c r="AF378" s="3">
        <f t="shared" si="95"/>
        <v>-401712.5792399944</v>
      </c>
      <c r="AG378" s="3">
        <f t="shared" si="92"/>
        <v>5745038.7406185223</v>
      </c>
      <c r="AH378" s="3">
        <f t="shared" si="93"/>
        <v>3.6987763463441625E-2</v>
      </c>
      <c r="AI378" s="3">
        <f t="shared" si="94"/>
        <v>-2.5036178242153831E-3</v>
      </c>
    </row>
    <row r="379" spans="19:35" x14ac:dyDescent="0.3">
      <c r="S379" s="6">
        <v>362</v>
      </c>
      <c r="T379" s="4">
        <f t="shared" si="80"/>
        <v>181</v>
      </c>
      <c r="U379" s="3">
        <f t="shared" si="81"/>
        <v>-5766248.7493332718</v>
      </c>
      <c r="V379" s="3">
        <f t="shared" si="82"/>
        <v>389180.59167158668</v>
      </c>
      <c r="W379" s="3">
        <f t="shared" si="83"/>
        <v>-30261.738145546969</v>
      </c>
      <c r="X379" s="3">
        <f t="shared" si="84"/>
        <v>2467.3335042292347</v>
      </c>
      <c r="Y379" s="3">
        <f t="shared" si="85"/>
        <v>5771114.5421148455</v>
      </c>
      <c r="Z379" s="3">
        <f t="shared" si="86"/>
        <v>-380446.69896796346</v>
      </c>
      <c r="AA379" s="3">
        <f t="shared" si="87"/>
        <v>5783640.9595483243</v>
      </c>
      <c r="AB379" s="3">
        <f t="shared" si="88"/>
        <v>5731114.5421148455</v>
      </c>
      <c r="AC379" s="3">
        <f t="shared" si="89"/>
        <v>-377946.69896796346</v>
      </c>
      <c r="AD379" s="3">
        <f t="shared" si="90"/>
        <v>5743563.1451304713</v>
      </c>
      <c r="AE379" s="3">
        <f t="shared" si="91"/>
        <v>5746114.5421148455</v>
      </c>
      <c r="AF379" s="3">
        <f t="shared" si="95"/>
        <v>-402946.69896796346</v>
      </c>
      <c r="AG379" s="3">
        <f t="shared" si="92"/>
        <v>5760225.5488229692</v>
      </c>
      <c r="AH379" s="3">
        <f t="shared" si="93"/>
        <v>3.6793152022160394E-2</v>
      </c>
      <c r="AI379" s="3">
        <f t="shared" si="94"/>
        <v>-2.4917837791623709E-3</v>
      </c>
    </row>
    <row r="380" spans="19:35" x14ac:dyDescent="0.3">
      <c r="S380" s="6">
        <v>363</v>
      </c>
      <c r="T380" s="4">
        <f t="shared" si="80"/>
        <v>181.5</v>
      </c>
      <c r="U380" s="3">
        <f t="shared" si="81"/>
        <v>-5781379.6092077568</v>
      </c>
      <c r="V380" s="3">
        <f t="shared" si="82"/>
        <v>390414.25780075532</v>
      </c>
      <c r="W380" s="3">
        <f t="shared" si="83"/>
        <v>-30255.060188454947</v>
      </c>
      <c r="X380" s="3">
        <f t="shared" si="84"/>
        <v>2466.8812454733165</v>
      </c>
      <c r="Y380" s="3">
        <f t="shared" si="85"/>
        <v>5786248.7493332718</v>
      </c>
      <c r="Z380" s="3">
        <f t="shared" si="86"/>
        <v>-381680.59167158668</v>
      </c>
      <c r="AA380" s="3">
        <f t="shared" si="87"/>
        <v>5798823.5585521674</v>
      </c>
      <c r="AB380" s="3">
        <f t="shared" si="88"/>
        <v>5746248.7493332718</v>
      </c>
      <c r="AC380" s="3">
        <f t="shared" si="89"/>
        <v>-379180.59167158668</v>
      </c>
      <c r="AD380" s="3">
        <f t="shared" si="90"/>
        <v>5758745.7497544205</v>
      </c>
      <c r="AE380" s="3">
        <f t="shared" si="91"/>
        <v>5761248.7493332718</v>
      </c>
      <c r="AF380" s="3">
        <f t="shared" si="95"/>
        <v>-404180.59167158668</v>
      </c>
      <c r="AG380" s="3">
        <f t="shared" si="92"/>
        <v>5775408.9987098034</v>
      </c>
      <c r="AH380" s="3">
        <f t="shared" si="93"/>
        <v>3.6600114912417665E-2</v>
      </c>
      <c r="AI380" s="3">
        <f t="shared" si="94"/>
        <v>-2.4800352672161101E-3</v>
      </c>
    </row>
    <row r="381" spans="19:35" x14ac:dyDescent="0.3">
      <c r="S381" s="6">
        <v>364</v>
      </c>
      <c r="T381" s="4">
        <f t="shared" si="80"/>
        <v>182</v>
      </c>
      <c r="U381" s="3">
        <f t="shared" si="81"/>
        <v>-5796507.1301519554</v>
      </c>
      <c r="V381" s="3">
        <f t="shared" si="82"/>
        <v>391647.69780348317</v>
      </c>
      <c r="W381" s="3">
        <f t="shared" si="83"/>
        <v>-30248.398967540888</v>
      </c>
      <c r="X381" s="3">
        <f t="shared" si="84"/>
        <v>2466.4298790546832</v>
      </c>
      <c r="Y381" s="3">
        <f t="shared" si="85"/>
        <v>5801379.6092077568</v>
      </c>
      <c r="Z381" s="3">
        <f t="shared" si="86"/>
        <v>-382914.25780075532</v>
      </c>
      <c r="AA381" s="3">
        <f t="shared" si="87"/>
        <v>5814002.8120872667</v>
      </c>
      <c r="AB381" s="3">
        <f t="shared" si="88"/>
        <v>5761379.6092077568</v>
      </c>
      <c r="AC381" s="3">
        <f t="shared" si="89"/>
        <v>-380414.25780075532</v>
      </c>
      <c r="AD381" s="3">
        <f t="shared" si="90"/>
        <v>5773925.0089460826</v>
      </c>
      <c r="AE381" s="3">
        <f t="shared" si="91"/>
        <v>5776379.6092077568</v>
      </c>
      <c r="AF381" s="3">
        <f t="shared" si="95"/>
        <v>-405414.25780075532</v>
      </c>
      <c r="AG381" s="3">
        <f t="shared" si="92"/>
        <v>5790589.0987100173</v>
      </c>
      <c r="AH381" s="3">
        <f t="shared" si="93"/>
        <v>3.6408634995184402E-2</v>
      </c>
      <c r="AI381" s="3">
        <f t="shared" si="94"/>
        <v>-2.468371463837772E-3</v>
      </c>
    </row>
    <row r="382" spans="19:35" x14ac:dyDescent="0.3">
      <c r="S382" s="6">
        <v>365</v>
      </c>
      <c r="T382" s="4">
        <f t="shared" si="80"/>
        <v>182.5</v>
      </c>
      <c r="U382" s="3">
        <f t="shared" si="81"/>
        <v>-5811631.3205335671</v>
      </c>
      <c r="V382" s="3">
        <f t="shared" si="82"/>
        <v>392880.91212591762</v>
      </c>
      <c r="W382" s="3">
        <f t="shared" si="83"/>
        <v>-30241.754391654267</v>
      </c>
      <c r="X382" s="3">
        <f t="shared" si="84"/>
        <v>2465.979401262533</v>
      </c>
      <c r="Y382" s="3">
        <f t="shared" si="85"/>
        <v>5816507.1301519554</v>
      </c>
      <c r="Z382" s="3">
        <f t="shared" si="86"/>
        <v>-384147.69780348317</v>
      </c>
      <c r="AA382" s="3">
        <f t="shared" si="87"/>
        <v>5829178.7285033772</v>
      </c>
      <c r="AB382" s="3">
        <f t="shared" si="88"/>
        <v>5776507.1301519554</v>
      </c>
      <c r="AC382" s="3">
        <f t="shared" si="89"/>
        <v>-381647.69780348317</v>
      </c>
      <c r="AD382" s="3">
        <f t="shared" si="90"/>
        <v>5789100.9310544133</v>
      </c>
      <c r="AE382" s="3">
        <f t="shared" si="91"/>
        <v>5791507.1301519554</v>
      </c>
      <c r="AF382" s="3">
        <f t="shared" si="95"/>
        <v>-406647.69780348317</v>
      </c>
      <c r="AG382" s="3">
        <f t="shared" si="92"/>
        <v>5805765.8572086599</v>
      </c>
      <c r="AH382" s="3">
        <f t="shared" si="93"/>
        <v>3.6218695365591608E-2</v>
      </c>
      <c r="AI382" s="3">
        <f t="shared" si="94"/>
        <v>-2.4567915543417928E-3</v>
      </c>
    </row>
    <row r="383" spans="19:35" x14ac:dyDescent="0.3">
      <c r="S383" s="6">
        <v>366</v>
      </c>
      <c r="T383" s="4">
        <f t="shared" si="80"/>
        <v>183</v>
      </c>
      <c r="U383" s="3">
        <f t="shared" si="81"/>
        <v>-5826752.18867472</v>
      </c>
      <c r="V383" s="3">
        <f t="shared" si="82"/>
        <v>394113.90121235099</v>
      </c>
      <c r="W383" s="3">
        <f t="shared" si="83"/>
        <v>-30235.126370402362</v>
      </c>
      <c r="X383" s="3">
        <f t="shared" si="84"/>
        <v>2465.5298084080882</v>
      </c>
      <c r="Y383" s="3">
        <f t="shared" si="85"/>
        <v>5831631.3205335671</v>
      </c>
      <c r="Z383" s="3">
        <f t="shared" si="86"/>
        <v>-385380.91212591762</v>
      </c>
      <c r="AA383" s="3">
        <f t="shared" si="87"/>
        <v>5844351.3161050715</v>
      </c>
      <c r="AB383" s="3">
        <f t="shared" si="88"/>
        <v>5791631.3205335671</v>
      </c>
      <c r="AC383" s="3">
        <f t="shared" si="89"/>
        <v>-382880.91212591762</v>
      </c>
      <c r="AD383" s="3">
        <f t="shared" si="90"/>
        <v>5804273.5243831994</v>
      </c>
      <c r="AE383" s="3">
        <f t="shared" si="91"/>
        <v>5806631.3205335671</v>
      </c>
      <c r="AF383" s="3">
        <f t="shared" si="95"/>
        <v>-407880.91212591762</v>
      </c>
      <c r="AG383" s="3">
        <f t="shared" si="92"/>
        <v>5820939.282545221</v>
      </c>
      <c r="AH383" s="3">
        <f t="shared" si="93"/>
        <v>3.6030279349085592E-2</v>
      </c>
      <c r="AI383" s="3">
        <f t="shared" si="94"/>
        <v>-2.4452947337566954E-3</v>
      </c>
    </row>
    <row r="384" spans="19:35" x14ac:dyDescent="0.3">
      <c r="S384" s="6">
        <v>367</v>
      </c>
      <c r="T384" s="4">
        <f t="shared" si="80"/>
        <v>183.5</v>
      </c>
      <c r="U384" s="3">
        <f t="shared" si="81"/>
        <v>-5841869.7428523516</v>
      </c>
      <c r="V384" s="3">
        <f t="shared" si="82"/>
        <v>395346.66550523136</v>
      </c>
      <c r="W384" s="3">
        <f t="shared" si="83"/>
        <v>-30228.514814141807</v>
      </c>
      <c r="X384" s="3">
        <f t="shared" si="84"/>
        <v>2465.0810968244441</v>
      </c>
      <c r="Y384" s="3">
        <f t="shared" si="85"/>
        <v>5846752.18867472</v>
      </c>
      <c r="Z384" s="3">
        <f t="shared" si="86"/>
        <v>-386613.90121235099</v>
      </c>
      <c r="AA384" s="3">
        <f t="shared" si="87"/>
        <v>5859520.5831521116</v>
      </c>
      <c r="AB384" s="3">
        <f t="shared" si="88"/>
        <v>5806752.18867472</v>
      </c>
      <c r="AC384" s="3">
        <f t="shared" si="89"/>
        <v>-384113.90121235099</v>
      </c>
      <c r="AD384" s="3">
        <f t="shared" si="90"/>
        <v>5819442.7971914308</v>
      </c>
      <c r="AE384" s="3">
        <f t="shared" si="91"/>
        <v>5821752.18867472</v>
      </c>
      <c r="AF384" s="3">
        <f t="shared" si="95"/>
        <v>-409113.90121235099</v>
      </c>
      <c r="AG384" s="3">
        <f t="shared" si="92"/>
        <v>5836109.3830140028</v>
      </c>
      <c r="AH384" s="3">
        <f t="shared" si="93"/>
        <v>3.5843370497656589E-2</v>
      </c>
      <c r="AI384" s="3">
        <f t="shared" si="94"/>
        <v>-2.4338802066881321E-3</v>
      </c>
    </row>
    <row r="385" spans="19:35" x14ac:dyDescent="0.3">
      <c r="S385" s="6">
        <v>368</v>
      </c>
      <c r="T385" s="4">
        <f t="shared" si="80"/>
        <v>184</v>
      </c>
      <c r="U385" s="3">
        <f t="shared" si="81"/>
        <v>-5856983.9912985796</v>
      </c>
      <c r="V385" s="3">
        <f t="shared" si="82"/>
        <v>396579.20544517355</v>
      </c>
      <c r="W385" s="3">
        <f t="shared" si="83"/>
        <v>-30221.919633970239</v>
      </c>
      <c r="X385" s="3">
        <f t="shared" si="84"/>
        <v>2464.6332628664136</v>
      </c>
      <c r="Y385" s="3">
        <f t="shared" si="85"/>
        <v>5861869.7428523516</v>
      </c>
      <c r="Z385" s="3">
        <f t="shared" si="86"/>
        <v>-387846.66550523136</v>
      </c>
      <c r="AA385" s="3">
        <f t="shared" si="87"/>
        <v>5874686.5378598217</v>
      </c>
      <c r="AB385" s="3">
        <f t="shared" si="88"/>
        <v>5821869.7428523516</v>
      </c>
      <c r="AC385" s="3">
        <f t="shared" si="89"/>
        <v>-385346.66550523136</v>
      </c>
      <c r="AD385" s="3">
        <f t="shared" si="90"/>
        <v>5834608.7576936735</v>
      </c>
      <c r="AE385" s="3">
        <f t="shared" si="91"/>
        <v>5836869.7428523516</v>
      </c>
      <c r="AF385" s="3">
        <f t="shared" si="95"/>
        <v>-410346.66550523136</v>
      </c>
      <c r="AG385" s="3">
        <f t="shared" si="92"/>
        <v>5851276.1668645022</v>
      </c>
      <c r="AH385" s="3">
        <f t="shared" si="93"/>
        <v>3.5657952586139546E-2</v>
      </c>
      <c r="AI385" s="3">
        <f t="shared" si="94"/>
        <v>-2.4225471871841316E-3</v>
      </c>
    </row>
    <row r="386" spans="19:35" x14ac:dyDescent="0.3">
      <c r="S386" s="6">
        <v>369</v>
      </c>
      <c r="T386" s="4">
        <f t="shared" si="80"/>
        <v>184.5</v>
      </c>
      <c r="U386" s="3">
        <f t="shared" si="81"/>
        <v>-5872094.9422010761</v>
      </c>
      <c r="V386" s="3">
        <f t="shared" si="82"/>
        <v>397811.52147096995</v>
      </c>
      <c r="W386" s="3">
        <f t="shared" si="83"/>
        <v>-30215.340741718097</v>
      </c>
      <c r="X386" s="3">
        <f t="shared" si="84"/>
        <v>2464.1863029103779</v>
      </c>
      <c r="Y386" s="3">
        <f t="shared" si="85"/>
        <v>5876983.9912985796</v>
      </c>
      <c r="Z386" s="3">
        <f t="shared" si="86"/>
        <v>-389079.20544517355</v>
      </c>
      <c r="AA386" s="3">
        <f t="shared" si="87"/>
        <v>5889849.1883994481</v>
      </c>
      <c r="AB386" s="3">
        <f t="shared" si="88"/>
        <v>5836983.9912985796</v>
      </c>
      <c r="AC386" s="3">
        <f t="shared" si="89"/>
        <v>-386579.20544517355</v>
      </c>
      <c r="AD386" s="3">
        <f t="shared" si="90"/>
        <v>5849771.4140604259</v>
      </c>
      <c r="AE386" s="3">
        <f t="shared" si="91"/>
        <v>5851983.9912985796</v>
      </c>
      <c r="AF386" s="3">
        <f t="shared" si="95"/>
        <v>-411579.20544517355</v>
      </c>
      <c r="AG386" s="3">
        <f t="shared" si="92"/>
        <v>5866439.6423017709</v>
      </c>
      <c r="AH386" s="3">
        <f t="shared" si="93"/>
        <v>3.5474009608585412E-2</v>
      </c>
      <c r="AI386" s="3">
        <f t="shared" si="94"/>
        <v>-2.4112948986025197E-3</v>
      </c>
    </row>
    <row r="387" spans="19:35" x14ac:dyDescent="0.3">
      <c r="S387" s="6">
        <v>370</v>
      </c>
      <c r="T387" s="4">
        <f t="shared" si="80"/>
        <v>185</v>
      </c>
      <c r="U387" s="3">
        <f t="shared" si="81"/>
        <v>-5887202.6037034327</v>
      </c>
      <c r="V387" s="3">
        <f t="shared" si="82"/>
        <v>399043.61401960137</v>
      </c>
      <c r="W387" s="3">
        <f t="shared" si="83"/>
        <v>-30208.778049940509</v>
      </c>
      <c r="X387" s="3">
        <f t="shared" si="84"/>
        <v>2463.7402133541364</v>
      </c>
      <c r="Y387" s="3">
        <f t="shared" si="85"/>
        <v>5892094.9422010761</v>
      </c>
      <c r="Z387" s="3">
        <f t="shared" si="86"/>
        <v>-390311.52147096995</v>
      </c>
      <c r="AA387" s="3">
        <f t="shared" si="87"/>
        <v>5905008.542898519</v>
      </c>
      <c r="AB387" s="3">
        <f t="shared" si="88"/>
        <v>5852094.9422010761</v>
      </c>
      <c r="AC387" s="3">
        <f t="shared" si="89"/>
        <v>-387811.52147096995</v>
      </c>
      <c r="AD387" s="3">
        <f t="shared" si="90"/>
        <v>5864930.7744184881</v>
      </c>
      <c r="AE387" s="3">
        <f t="shared" si="91"/>
        <v>5867094.9422010761</v>
      </c>
      <c r="AF387" s="3">
        <f t="shared" si="95"/>
        <v>-412811.52147096995</v>
      </c>
      <c r="AG387" s="3">
        <f t="shared" si="92"/>
        <v>5881599.8174867881</v>
      </c>
      <c r="AH387" s="3">
        <f t="shared" si="93"/>
        <v>3.5291525774701259E-2</v>
      </c>
      <c r="AI387" s="3">
        <f t="shared" si="94"/>
        <v>-2.4001225734804482E-3</v>
      </c>
    </row>
    <row r="388" spans="19:35" x14ac:dyDescent="0.3">
      <c r="S388" s="6">
        <v>371</v>
      </c>
      <c r="T388" s="4">
        <f t="shared" si="80"/>
        <v>185.5</v>
      </c>
      <c r="U388" s="3">
        <f t="shared" si="81"/>
        <v>-5902306.9839055212</v>
      </c>
      <c r="V388" s="3">
        <f t="shared" si="82"/>
        <v>400275.48352624779</v>
      </c>
      <c r="W388" s="3">
        <f t="shared" si="83"/>
        <v>-30202.231471909301</v>
      </c>
      <c r="X388" s="3">
        <f t="shared" si="84"/>
        <v>2463.2949906167555</v>
      </c>
      <c r="Y388" s="3">
        <f t="shared" si="85"/>
        <v>5907202.6037034327</v>
      </c>
      <c r="Z388" s="3">
        <f t="shared" si="86"/>
        <v>-391543.61401960137</v>
      </c>
      <c r="AA388" s="3">
        <f t="shared" si="87"/>
        <v>5920164.6094412059</v>
      </c>
      <c r="AB388" s="3">
        <f t="shared" si="88"/>
        <v>5867202.6037034327</v>
      </c>
      <c r="AC388" s="3">
        <f t="shared" si="89"/>
        <v>-389043.61401960137</v>
      </c>
      <c r="AD388" s="3">
        <f t="shared" si="90"/>
        <v>5880086.8468513098</v>
      </c>
      <c r="AE388" s="3">
        <f t="shared" si="91"/>
        <v>5882202.6037034327</v>
      </c>
      <c r="AF388" s="3">
        <f t="shared" si="95"/>
        <v>-414043.61401960137</v>
      </c>
      <c r="AG388" s="3">
        <f t="shared" si="92"/>
        <v>5896756.7005368173</v>
      </c>
      <c r="AH388" s="3">
        <f t="shared" si="93"/>
        <v>3.511048550635857E-2</v>
      </c>
      <c r="AI388" s="3">
        <f t="shared" si="94"/>
        <v>-2.3890294534060713E-3</v>
      </c>
    </row>
    <row r="389" spans="19:35" x14ac:dyDescent="0.3">
      <c r="S389" s="6">
        <v>372</v>
      </c>
      <c r="T389" s="4">
        <f t="shared" si="80"/>
        <v>186</v>
      </c>
      <c r="U389" s="3">
        <f t="shared" si="81"/>
        <v>-5917408.0908638546</v>
      </c>
      <c r="V389" s="3">
        <f t="shared" si="82"/>
        <v>401507.13042429881</v>
      </c>
      <c r="W389" s="3">
        <f t="shared" si="83"/>
        <v>-30195.700921605119</v>
      </c>
      <c r="X389" s="3">
        <f t="shared" si="84"/>
        <v>2462.8506311384222</v>
      </c>
      <c r="Y389" s="3">
        <f t="shared" si="85"/>
        <v>5922306.9839055212</v>
      </c>
      <c r="Z389" s="3">
        <f t="shared" si="86"/>
        <v>-392775.48352624779</v>
      </c>
      <c r="AA389" s="3">
        <f t="shared" si="87"/>
        <v>5935317.3960686708</v>
      </c>
      <c r="AB389" s="3">
        <f t="shared" si="88"/>
        <v>5882306.9839055212</v>
      </c>
      <c r="AC389" s="3">
        <f t="shared" si="89"/>
        <v>-390275.48352624779</v>
      </c>
      <c r="AD389" s="3">
        <f t="shared" si="90"/>
        <v>5895239.639399345</v>
      </c>
      <c r="AE389" s="3">
        <f t="shared" si="91"/>
        <v>5897306.9839055212</v>
      </c>
      <c r="AF389" s="3">
        <f t="shared" si="95"/>
        <v>-415275.48352624779</v>
      </c>
      <c r="AG389" s="3">
        <f t="shared" si="92"/>
        <v>5911910.2995257629</v>
      </c>
      <c r="AH389" s="3">
        <f t="shared" si="93"/>
        <v>3.493087343416594E-2</v>
      </c>
      <c r="AI389" s="3">
        <f t="shared" si="94"/>
        <v>-2.3780147888921555E-3</v>
      </c>
    </row>
    <row r="390" spans="19:35" x14ac:dyDescent="0.3">
      <c r="S390" s="6">
        <v>373</v>
      </c>
      <c r="T390" s="4">
        <f t="shared" si="80"/>
        <v>186.5</v>
      </c>
      <c r="U390" s="3">
        <f t="shared" si="81"/>
        <v>-5932505.9325919384</v>
      </c>
      <c r="V390" s="3">
        <f t="shared" si="82"/>
        <v>402738.55514536431</v>
      </c>
      <c r="W390" s="3">
        <f t="shared" si="83"/>
        <v>-30189.186313709648</v>
      </c>
      <c r="X390" s="3">
        <f t="shared" si="84"/>
        <v>2462.4071313802938</v>
      </c>
      <c r="Y390" s="3">
        <f t="shared" si="85"/>
        <v>5937408.0908638546</v>
      </c>
      <c r="Z390" s="3">
        <f t="shared" si="86"/>
        <v>-394007.13042429881</v>
      </c>
      <c r="AA390" s="3">
        <f t="shared" si="87"/>
        <v>5950466.9107794184</v>
      </c>
      <c r="AB390" s="3">
        <f t="shared" si="88"/>
        <v>5897408.0908638546</v>
      </c>
      <c r="AC390" s="3">
        <f t="shared" si="89"/>
        <v>-391507.13042429881</v>
      </c>
      <c r="AD390" s="3">
        <f t="shared" si="90"/>
        <v>5910389.1600604039</v>
      </c>
      <c r="AE390" s="3">
        <f t="shared" si="91"/>
        <v>5912408.0908638546</v>
      </c>
      <c r="AF390" s="3">
        <f t="shared" si="95"/>
        <v>-416507.13042429881</v>
      </c>
      <c r="AG390" s="3">
        <f t="shared" si="92"/>
        <v>5927060.6224845257</v>
      </c>
      <c r="AH390" s="3">
        <f t="shared" si="93"/>
        <v>3.4752674394108327E-2</v>
      </c>
      <c r="AI390" s="3">
        <f t="shared" si="94"/>
        <v>-2.3670778392518425E-3</v>
      </c>
    </row>
    <row r="391" spans="19:35" x14ac:dyDescent="0.3">
      <c r="S391" s="6">
        <v>374</v>
      </c>
      <c r="T391" s="4">
        <f t="shared" si="80"/>
        <v>187</v>
      </c>
      <c r="U391" s="3">
        <f t="shared" si="81"/>
        <v>-5947600.5170606244</v>
      </c>
      <c r="V391" s="3">
        <f t="shared" si="82"/>
        <v>403969.75811928499</v>
      </c>
      <c r="W391" s="3">
        <f t="shared" si="83"/>
        <v>-30182.687563597949</v>
      </c>
      <c r="X391" s="3">
        <f t="shared" si="84"/>
        <v>2461.9644878243535</v>
      </c>
      <c r="Y391" s="3">
        <f t="shared" si="85"/>
        <v>5952505.9325919384</v>
      </c>
      <c r="Z391" s="3">
        <f t="shared" si="86"/>
        <v>-395238.55514536431</v>
      </c>
      <c r="AA391" s="3">
        <f t="shared" si="87"/>
        <v>5965613.161529636</v>
      </c>
      <c r="AB391" s="3">
        <f t="shared" si="88"/>
        <v>5912505.9325919384</v>
      </c>
      <c r="AC391" s="3">
        <f t="shared" si="89"/>
        <v>-392738.55514536431</v>
      </c>
      <c r="AD391" s="3">
        <f t="shared" si="90"/>
        <v>5925535.4167899908</v>
      </c>
      <c r="AE391" s="3">
        <f t="shared" si="91"/>
        <v>5927505.9325919384</v>
      </c>
      <c r="AF391" s="3">
        <f t="shared" si="95"/>
        <v>-417738.55514536431</v>
      </c>
      <c r="AG391" s="3">
        <f t="shared" si="92"/>
        <v>5942207.6774013517</v>
      </c>
      <c r="AH391" s="3">
        <f t="shared" si="93"/>
        <v>3.4575873424248088E-2</v>
      </c>
      <c r="AI391" s="3">
        <f t="shared" si="94"/>
        <v>-2.3562178724762964E-3</v>
      </c>
    </row>
    <row r="392" spans="19:35" x14ac:dyDescent="0.3">
      <c r="S392" s="6">
        <v>375</v>
      </c>
      <c r="T392" s="4">
        <f t="shared" si="80"/>
        <v>187.5</v>
      </c>
      <c r="U392" s="3">
        <f t="shared" si="81"/>
        <v>-5962691.8521984555</v>
      </c>
      <c r="V392" s="3">
        <f t="shared" si="82"/>
        <v>405200.73977414268</v>
      </c>
      <c r="W392" s="3">
        <f t="shared" si="83"/>
        <v>-30176.204587330903</v>
      </c>
      <c r="X392" s="3">
        <f t="shared" si="84"/>
        <v>2461.5226969732644</v>
      </c>
      <c r="Y392" s="3">
        <f t="shared" si="85"/>
        <v>5967600.5170606244</v>
      </c>
      <c r="Z392" s="3">
        <f t="shared" si="86"/>
        <v>-396469.75811928499</v>
      </c>
      <c r="AA392" s="3">
        <f t="shared" si="87"/>
        <v>5980756.1562335407</v>
      </c>
      <c r="AB392" s="3">
        <f t="shared" si="88"/>
        <v>5927600.5170606244</v>
      </c>
      <c r="AC392" s="3">
        <f t="shared" si="89"/>
        <v>-393969.75811928499</v>
      </c>
      <c r="AD392" s="3">
        <f t="shared" si="90"/>
        <v>5940678.4175016535</v>
      </c>
      <c r="AE392" s="3">
        <f t="shared" si="91"/>
        <v>5942600.5170606244</v>
      </c>
      <c r="AF392" s="3">
        <f t="shared" si="95"/>
        <v>-418969.75811928499</v>
      </c>
      <c r="AG392" s="3">
        <f t="shared" si="92"/>
        <v>5957351.4722221764</v>
      </c>
      <c r="AH392" s="3">
        <f t="shared" si="93"/>
        <v>3.4400455761488036E-2</v>
      </c>
      <c r="AI392" s="3">
        <f t="shared" si="94"/>
        <v>-2.3454341651143089E-3</v>
      </c>
    </row>
    <row r="393" spans="19:35" x14ac:dyDescent="0.3">
      <c r="S393" s="6">
        <v>376</v>
      </c>
      <c r="T393" s="4">
        <f t="shared" si="80"/>
        <v>188</v>
      </c>
      <c r="U393" s="3">
        <f t="shared" si="81"/>
        <v>-5977779.9458920071</v>
      </c>
      <c r="V393" s="3">
        <f t="shared" si="82"/>
        <v>406431.50053627079</v>
      </c>
      <c r="W393" s="3">
        <f t="shared" si="83"/>
        <v>-30169.737301647743</v>
      </c>
      <c r="X393" s="3">
        <f t="shared" si="84"/>
        <v>2461.0817553502229</v>
      </c>
      <c r="Y393" s="3">
        <f t="shared" si="85"/>
        <v>5982691.8521984555</v>
      </c>
      <c r="Z393" s="3">
        <f t="shared" si="86"/>
        <v>-397700.73977414268</v>
      </c>
      <c r="AA393" s="3">
        <f t="shared" si="87"/>
        <v>5995895.9027637132</v>
      </c>
      <c r="AB393" s="3">
        <f t="shared" si="88"/>
        <v>5942691.8521984555</v>
      </c>
      <c r="AC393" s="3">
        <f t="shared" si="89"/>
        <v>-395200.73977414268</v>
      </c>
      <c r="AD393" s="3">
        <f t="shared" si="90"/>
        <v>5955818.1700673113</v>
      </c>
      <c r="AE393" s="3">
        <f t="shared" si="91"/>
        <v>5957691.8521984555</v>
      </c>
      <c r="AF393" s="3">
        <f t="shared" si="95"/>
        <v>-420200.73977414268</v>
      </c>
      <c r="AG393" s="3">
        <f t="shared" si="92"/>
        <v>5972492.0148509694</v>
      </c>
      <c r="AH393" s="3">
        <f t="shared" si="93"/>
        <v>3.4226406838395632E-2</v>
      </c>
      <c r="AI393" s="3">
        <f t="shared" si="94"/>
        <v>-2.3347260021538557E-3</v>
      </c>
    </row>
    <row r="394" spans="19:35" x14ac:dyDescent="0.3">
      <c r="S394" s="6">
        <v>377</v>
      </c>
      <c r="T394" s="4">
        <f t="shared" si="80"/>
        <v>188.5</v>
      </c>
      <c r="U394" s="3">
        <f t="shared" si="81"/>
        <v>-5992864.8059862293</v>
      </c>
      <c r="V394" s="3">
        <f t="shared" si="82"/>
        <v>407662.04083026439</v>
      </c>
      <c r="W394" s="3">
        <f t="shared" si="83"/>
        <v>-30163.285623958705</v>
      </c>
      <c r="X394" s="3">
        <f t="shared" si="84"/>
        <v>2460.6416594988168</v>
      </c>
      <c r="Y394" s="3">
        <f t="shared" si="85"/>
        <v>5997779.9458920071</v>
      </c>
      <c r="Z394" s="3">
        <f t="shared" si="86"/>
        <v>-398931.50053627079</v>
      </c>
      <c r="AA394" s="3">
        <f t="shared" si="87"/>
        <v>6011032.4089514315</v>
      </c>
      <c r="AB394" s="3">
        <f t="shared" si="88"/>
        <v>5957779.9458920071</v>
      </c>
      <c r="AC394" s="3">
        <f t="shared" si="89"/>
        <v>-396431.50053627079</v>
      </c>
      <c r="AD394" s="3">
        <f t="shared" si="90"/>
        <v>5970954.682317595</v>
      </c>
      <c r="AE394" s="3">
        <f t="shared" si="91"/>
        <v>5972779.9458920071</v>
      </c>
      <c r="AF394" s="3">
        <f t="shared" si="95"/>
        <v>-421431.50053627079</v>
      </c>
      <c r="AG394" s="3">
        <f t="shared" si="92"/>
        <v>5987629.3131500697</v>
      </c>
      <c r="AH394" s="3">
        <f t="shared" si="93"/>
        <v>3.4053712280085621E-2</v>
      </c>
      <c r="AI394" s="3">
        <f t="shared" si="94"/>
        <v>-2.3240926769054746E-3</v>
      </c>
    </row>
    <row r="395" spans="19:35" x14ac:dyDescent="0.3">
      <c r="S395" s="6">
        <v>378</v>
      </c>
      <c r="T395" s="4">
        <f t="shared" si="80"/>
        <v>189</v>
      </c>
      <c r="U395" s="3">
        <f t="shared" si="81"/>
        <v>-6007946.4402847802</v>
      </c>
      <c r="V395" s="3">
        <f t="shared" si="82"/>
        <v>408892.36107899062</v>
      </c>
      <c r="W395" s="3">
        <f t="shared" si="83"/>
        <v>-30156.84947233777</v>
      </c>
      <c r="X395" s="3">
        <f t="shared" si="84"/>
        <v>2460.2024059828818</v>
      </c>
      <c r="Y395" s="3">
        <f t="shared" si="85"/>
        <v>6012864.8059862293</v>
      </c>
      <c r="Z395" s="3">
        <f t="shared" si="86"/>
        <v>-400162.04083026439</v>
      </c>
      <c r="AA395" s="3">
        <f t="shared" si="87"/>
        <v>6026165.6825870015</v>
      </c>
      <c r="AB395" s="3">
        <f t="shared" si="88"/>
        <v>5972864.8059862293</v>
      </c>
      <c r="AC395" s="3">
        <f t="shared" si="89"/>
        <v>-397662.04083026439</v>
      </c>
      <c r="AD395" s="3">
        <f t="shared" si="90"/>
        <v>5986087.9620421715</v>
      </c>
      <c r="AE395" s="3">
        <f t="shared" si="91"/>
        <v>5987864.8059862293</v>
      </c>
      <c r="AF395" s="3">
        <f t="shared" si="95"/>
        <v>-422662.04083026439</v>
      </c>
      <c r="AG395" s="3">
        <f t="shared" si="92"/>
        <v>6002763.3749405202</v>
      </c>
      <c r="AH395" s="3">
        <f t="shared" si="93"/>
        <v>3.3882357901161536E-2</v>
      </c>
      <c r="AI395" s="3">
        <f t="shared" si="94"/>
        <v>-2.3135334908875567E-3</v>
      </c>
    </row>
    <row r="396" spans="19:35" x14ac:dyDescent="0.3">
      <c r="S396" s="6">
        <v>379</v>
      </c>
      <c r="T396" s="4">
        <f t="shared" si="80"/>
        <v>189.5</v>
      </c>
      <c r="U396" s="3">
        <f t="shared" si="81"/>
        <v>-6023024.8565503601</v>
      </c>
      <c r="V396" s="3">
        <f t="shared" si="82"/>
        <v>410122.46170359867</v>
      </c>
      <c r="W396" s="3">
        <f t="shared" si="83"/>
        <v>-30150.428765515499</v>
      </c>
      <c r="X396" s="3">
        <f t="shared" si="84"/>
        <v>2459.7639913863586</v>
      </c>
      <c r="Y396" s="3">
        <f t="shared" si="85"/>
        <v>6027946.4402847802</v>
      </c>
      <c r="Z396" s="3">
        <f t="shared" si="86"/>
        <v>-401392.36107899062</v>
      </c>
      <c r="AA396" s="3">
        <f t="shared" si="87"/>
        <v>6041295.7314200839</v>
      </c>
      <c r="AB396" s="3">
        <f t="shared" si="88"/>
        <v>5987946.4402847802</v>
      </c>
      <c r="AC396" s="3">
        <f t="shared" si="89"/>
        <v>-398892.36107899062</v>
      </c>
      <c r="AD396" s="3">
        <f t="shared" si="90"/>
        <v>6001218.0169900795</v>
      </c>
      <c r="AE396" s="3">
        <f t="shared" si="91"/>
        <v>6002946.4402847802</v>
      </c>
      <c r="AF396" s="3">
        <f t="shared" si="95"/>
        <v>-423892.36107899062</v>
      </c>
      <c r="AG396" s="3">
        <f t="shared" si="92"/>
        <v>6017894.2080024006</v>
      </c>
      <c r="AH396" s="3">
        <f t="shared" si="93"/>
        <v>3.3712329702712339E-2</v>
      </c>
      <c r="AI396" s="3">
        <f t="shared" si="94"/>
        <v>-2.3030477537133321E-3</v>
      </c>
    </row>
    <row r="397" spans="19:35" x14ac:dyDescent="0.3">
      <c r="S397" s="6">
        <v>380</v>
      </c>
      <c r="T397" s="4">
        <f t="shared" si="80"/>
        <v>190</v>
      </c>
      <c r="U397" s="3">
        <f t="shared" si="81"/>
        <v>-6038100.0625050347</v>
      </c>
      <c r="V397" s="3">
        <f t="shared" si="82"/>
        <v>411352.34312352992</v>
      </c>
      <c r="W397" s="3">
        <f t="shared" si="83"/>
        <v>-30144.023422871982</v>
      </c>
      <c r="X397" s="3">
        <f t="shared" si="84"/>
        <v>2459.326412313153</v>
      </c>
      <c r="Y397" s="3">
        <f t="shared" si="85"/>
        <v>6043024.8565503601</v>
      </c>
      <c r="Z397" s="3">
        <f t="shared" si="86"/>
        <v>-402622.46170359867</v>
      </c>
      <c r="AA397" s="3">
        <f t="shared" si="87"/>
        <v>6056422.5631600181</v>
      </c>
      <c r="AB397" s="3">
        <f t="shared" si="88"/>
        <v>6003024.8565503601</v>
      </c>
      <c r="AC397" s="3">
        <f t="shared" si="89"/>
        <v>-400122.46170359867</v>
      </c>
      <c r="AD397" s="3">
        <f t="shared" si="90"/>
        <v>6016344.8548700409</v>
      </c>
      <c r="AE397" s="3">
        <f t="shared" si="91"/>
        <v>6018024.8565503601</v>
      </c>
      <c r="AF397" s="3">
        <f t="shared" si="95"/>
        <v>-425122.46170359867</v>
      </c>
      <c r="AG397" s="3">
        <f t="shared" si="92"/>
        <v>6033021.8200751534</v>
      </c>
      <c r="AH397" s="3">
        <f t="shared" si="93"/>
        <v>3.354361386936687E-2</v>
      </c>
      <c r="AI397" s="3">
        <f t="shared" si="94"/>
        <v>-2.2926347829797947E-3</v>
      </c>
    </row>
    <row r="398" spans="19:35" x14ac:dyDescent="0.3">
      <c r="S398" s="6">
        <v>381</v>
      </c>
      <c r="T398" s="4">
        <f t="shared" si="80"/>
        <v>190.5</v>
      </c>
      <c r="U398" s="3">
        <f t="shared" si="81"/>
        <v>-6053172.0658305679</v>
      </c>
      <c r="V398" s="3">
        <f t="shared" si="82"/>
        <v>412582.00575652783</v>
      </c>
      <c r="W398" s="3">
        <f t="shared" si="83"/>
        <v>-30137.633364429868</v>
      </c>
      <c r="X398" s="3">
        <f t="shared" si="84"/>
        <v>2458.8896653869951</v>
      </c>
      <c r="Y398" s="3">
        <f t="shared" si="85"/>
        <v>6058100.0625050347</v>
      </c>
      <c r="Z398" s="3">
        <f t="shared" si="86"/>
        <v>-403852.34312352992</v>
      </c>
      <c r="AA398" s="3">
        <f t="shared" si="87"/>
        <v>6071546.1854761411</v>
      </c>
      <c r="AB398" s="3">
        <f t="shared" si="88"/>
        <v>6018100.0625050347</v>
      </c>
      <c r="AC398" s="3">
        <f t="shared" si="89"/>
        <v>-401352.34312352992</v>
      </c>
      <c r="AD398" s="3">
        <f t="shared" si="90"/>
        <v>6031468.4833507873</v>
      </c>
      <c r="AE398" s="3">
        <f t="shared" si="91"/>
        <v>6033100.0625050347</v>
      </c>
      <c r="AF398" s="3">
        <f t="shared" si="95"/>
        <v>-426352.34312352992</v>
      </c>
      <c r="AG398" s="3">
        <f t="shared" si="92"/>
        <v>6048146.2188579058</v>
      </c>
      <c r="AH398" s="3">
        <f t="shared" si="93"/>
        <v>3.3376196766400273E-2</v>
      </c>
      <c r="AI398" s="3">
        <f t="shared" si="94"/>
        <v>-2.2822939041582165E-3</v>
      </c>
    </row>
    <row r="399" spans="19:35" x14ac:dyDescent="0.3">
      <c r="S399" s="6">
        <v>382</v>
      </c>
      <c r="T399" s="4">
        <f t="shared" si="80"/>
        <v>191</v>
      </c>
      <c r="U399" s="3">
        <f t="shared" si="81"/>
        <v>-6068240.8741687331</v>
      </c>
      <c r="V399" s="3">
        <f t="shared" si="82"/>
        <v>413811.45001864783</v>
      </c>
      <c r="W399" s="3">
        <f t="shared" si="83"/>
        <v>-30131.258510847485</v>
      </c>
      <c r="X399" s="3">
        <f t="shared" si="84"/>
        <v>2458.4537472513011</v>
      </c>
      <c r="Y399" s="3">
        <f t="shared" si="85"/>
        <v>6073172.0658305679</v>
      </c>
      <c r="Z399" s="3">
        <f t="shared" si="86"/>
        <v>-405082.00575652783</v>
      </c>
      <c r="AA399" s="3">
        <f t="shared" si="87"/>
        <v>6086666.6059981026</v>
      </c>
      <c r="AB399" s="3">
        <f t="shared" si="88"/>
        <v>6033172.0658305679</v>
      </c>
      <c r="AC399" s="3">
        <f t="shared" si="89"/>
        <v>-402582.00575652783</v>
      </c>
      <c r="AD399" s="3">
        <f t="shared" si="90"/>
        <v>6046588.9100613762</v>
      </c>
      <c r="AE399" s="3">
        <f t="shared" si="91"/>
        <v>6048172.0658305679</v>
      </c>
      <c r="AF399" s="3">
        <f t="shared" si="95"/>
        <v>-427582.00575652783</v>
      </c>
      <c r="AG399" s="3">
        <f t="shared" si="92"/>
        <v>6063267.4120097961</v>
      </c>
      <c r="AH399" s="3">
        <f t="shared" si="93"/>
        <v>3.3210064936895427E-2</v>
      </c>
      <c r="AI399" s="3">
        <f t="shared" si="94"/>
        <v>-2.2720244504864928E-3</v>
      </c>
    </row>
    <row r="400" spans="19:35" x14ac:dyDescent="0.3">
      <c r="S400" s="6">
        <v>383</v>
      </c>
      <c r="T400" s="4">
        <f t="shared" si="80"/>
        <v>191.5</v>
      </c>
      <c r="U400" s="3">
        <f t="shared" si="81"/>
        <v>-6083306.4951216402</v>
      </c>
      <c r="V400" s="3">
        <f t="shared" si="82"/>
        <v>415040.67632426735</v>
      </c>
      <c r="W400" s="3">
        <f t="shared" si="83"/>
        <v>-30124.898783412071</v>
      </c>
      <c r="X400" s="3">
        <f t="shared" si="84"/>
        <v>2458.0186545690331</v>
      </c>
      <c r="Y400" s="3">
        <f t="shared" si="85"/>
        <v>6088240.8741687331</v>
      </c>
      <c r="Z400" s="3">
        <f t="shared" si="86"/>
        <v>-406311.45001864783</v>
      </c>
      <c r="AA400" s="3">
        <f t="shared" si="87"/>
        <v>6101783.8323161788</v>
      </c>
      <c r="AB400" s="3">
        <f t="shared" si="88"/>
        <v>6048240.8741687331</v>
      </c>
      <c r="AC400" s="3">
        <f t="shared" si="89"/>
        <v>-403811.45001864783</v>
      </c>
      <c r="AD400" s="3">
        <f t="shared" si="90"/>
        <v>6061706.1425914997</v>
      </c>
      <c r="AE400" s="3">
        <f t="shared" si="91"/>
        <v>6063240.8741687331</v>
      </c>
      <c r="AF400" s="3">
        <f t="shared" si="95"/>
        <v>-428811.45001864783</v>
      </c>
      <c r="AG400" s="3">
        <f t="shared" si="92"/>
        <v>6078385.4071502835</v>
      </c>
      <c r="AH400" s="3">
        <f t="shared" si="93"/>
        <v>3.3045205098955255E-2</v>
      </c>
      <c r="AI400" s="3">
        <f t="shared" si="94"/>
        <v>-2.261825762863105E-3</v>
      </c>
    </row>
    <row r="401" spans="19:35" x14ac:dyDescent="0.3">
      <c r="S401" s="6">
        <v>384</v>
      </c>
      <c r="T401" s="4">
        <f t="shared" si="80"/>
        <v>192</v>
      </c>
      <c r="U401" s="3">
        <f t="shared" si="81"/>
        <v>-6098368.9362520445</v>
      </c>
      <c r="V401" s="3">
        <f t="shared" si="82"/>
        <v>416269.68508609541</v>
      </c>
      <c r="W401" s="3">
        <f t="shared" si="83"/>
        <v>-30118.554104033072</v>
      </c>
      <c r="X401" s="3">
        <f t="shared" si="84"/>
        <v>2457.5843840225634</v>
      </c>
      <c r="Y401" s="3">
        <f t="shared" si="85"/>
        <v>6103306.4951216402</v>
      </c>
      <c r="Z401" s="3">
        <f t="shared" si="86"/>
        <v>-407540.67632426735</v>
      </c>
      <c r="AA401" s="3">
        <f t="shared" si="87"/>
        <v>6116897.8719815854</v>
      </c>
      <c r="AB401" s="3">
        <f t="shared" si="88"/>
        <v>6063306.4951216402</v>
      </c>
      <c r="AC401" s="3">
        <f t="shared" si="89"/>
        <v>-405040.67632426735</v>
      </c>
      <c r="AD401" s="3">
        <f t="shared" si="90"/>
        <v>6076820.1884917971</v>
      </c>
      <c r="AE401" s="3">
        <f t="shared" si="91"/>
        <v>6078306.4951216402</v>
      </c>
      <c r="AF401" s="3">
        <f t="shared" si="95"/>
        <v>-430040.67632426735</v>
      </c>
      <c r="AG401" s="3">
        <f t="shared" si="92"/>
        <v>6093500.2118594646</v>
      </c>
      <c r="AH401" s="3">
        <f t="shared" si="93"/>
        <v>3.2881604142966842E-2</v>
      </c>
      <c r="AI401" s="3">
        <f t="shared" si="94"/>
        <v>-2.2516971897427861E-3</v>
      </c>
    </row>
    <row r="402" spans="19:35" x14ac:dyDescent="0.3">
      <c r="S402" s="6">
        <v>385</v>
      </c>
      <c r="T402" s="4">
        <f t="shared" ref="T402:T465" si="96">T401+$C$4</f>
        <v>192.5</v>
      </c>
      <c r="U402" s="3">
        <f t="shared" ref="U402:U465" si="97">U401+(W401*$C$4)+(AH401*POWER($C$4,2))</f>
        <v>-6113428.2050836608</v>
      </c>
      <c r="V402" s="3">
        <f t="shared" ref="V402:V465" si="98">V401+(X401*$C$4)+(AI401*POWER($C$4,2))</f>
        <v>417498.47671518236</v>
      </c>
      <c r="W402" s="3">
        <f t="shared" ref="W402:W465" si="99">W401+(AH401*T402)</f>
        <v>-30112.224395235549</v>
      </c>
      <c r="X402" s="3">
        <f t="shared" ref="X402:X465" si="100">X401+(AI401*T402)</f>
        <v>2457.1509323135379</v>
      </c>
      <c r="Y402" s="3">
        <f t="shared" ref="Y402:Y465" si="101">$C$19-U401</f>
        <v>6118368.9362520445</v>
      </c>
      <c r="Z402" s="3">
        <f t="shared" ref="Z402:Z465" si="102">$C$20-V401</f>
        <v>-408769.68508609541</v>
      </c>
      <c r="AA402" s="3">
        <f t="shared" ref="AA402:AA465" si="103">SQRT(POWER(Y402,2)+POWER(Z402,2))</f>
        <v>6132008.7325067762</v>
      </c>
      <c r="AB402" s="3">
        <f t="shared" ref="AB402:AB465" si="104">$F$19-U401</f>
        <v>6078368.9362520445</v>
      </c>
      <c r="AC402" s="3">
        <f t="shared" ref="AC402:AC465" si="105">$F$20-V401</f>
        <v>-406269.68508609541</v>
      </c>
      <c r="AD402" s="3">
        <f t="shared" ref="AD402:AD465" si="106">SQRT(POWER(AB402,2)+POWER(AC402,2))</f>
        <v>6091931.0552741624</v>
      </c>
      <c r="AE402" s="3">
        <f t="shared" ref="AE402:AE465" si="107">$I$19-U401</f>
        <v>6093368.9362520445</v>
      </c>
      <c r="AF402" s="3">
        <f t="shared" si="95"/>
        <v>-431269.68508609541</v>
      </c>
      <c r="AG402" s="3">
        <f t="shared" ref="AG402:AG465" si="108">SQRT(POWER(AE402,2)+POWER(AF402,2))</f>
        <v>6108611.833678388</v>
      </c>
      <c r="AH402" s="3">
        <f t="shared" ref="AH402:AH465" si="109">($C$24*(Y402/POWER(POWER(AA402,2)+POWER($C$25,2),3/2)))+($F$24*(AB402/POWER(POWER(AD402,2)+POWER($F$25,2),3/2)))+($I$24*(AE402/POWER(POWER(AG402,2)+POWER($I$25,2),3/2)))</f>
        <v>3.2719249128915086E-2</v>
      </c>
      <c r="AI402" s="3">
        <f t="shared" ref="AI402:AI465" si="110">$C$24*(Z402/POWER(POWER(AA402,2)+POWER($C$25,2),3/2))+$F$24*(AC402/POWER(POWER(AD402,2)+POWER($F$25,2),3/2))+$I$24*(AF402/POWER(POWER(AG402,2)+POWER($I$25,2),3/2))</f>
        <v>-2.2416380870337923E-3</v>
      </c>
    </row>
    <row r="403" spans="19:35" x14ac:dyDescent="0.3">
      <c r="S403" s="6">
        <v>386</v>
      </c>
      <c r="T403" s="4">
        <f t="shared" si="96"/>
        <v>193</v>
      </c>
      <c r="U403" s="3">
        <f t="shared" si="97"/>
        <v>-6128484.3091014661</v>
      </c>
      <c r="V403" s="3">
        <f t="shared" si="98"/>
        <v>418727.05162092962</v>
      </c>
      <c r="W403" s="3">
        <f t="shared" si="99"/>
        <v>-30105.909580153668</v>
      </c>
      <c r="X403" s="3">
        <f t="shared" si="100"/>
        <v>2456.7182961627404</v>
      </c>
      <c r="Y403" s="3">
        <f t="shared" si="101"/>
        <v>6133428.2050836608</v>
      </c>
      <c r="Z403" s="3">
        <f t="shared" si="102"/>
        <v>-409998.47671518236</v>
      </c>
      <c r="AA403" s="3">
        <f t="shared" si="103"/>
        <v>6147116.4213657565</v>
      </c>
      <c r="AB403" s="3">
        <f t="shared" si="104"/>
        <v>6093428.2050836608</v>
      </c>
      <c r="AC403" s="3">
        <f t="shared" si="105"/>
        <v>-407498.47671518236</v>
      </c>
      <c r="AD403" s="3">
        <f t="shared" si="106"/>
        <v>6107038.7504120423</v>
      </c>
      <c r="AE403" s="3">
        <f t="shared" si="107"/>
        <v>6108428.2050836608</v>
      </c>
      <c r="AF403" s="3">
        <f t="shared" ref="AF403:AF466" si="111">$I$20-V402</f>
        <v>-432498.47671518236</v>
      </c>
      <c r="AG403" s="3">
        <f t="shared" si="108"/>
        <v>6123720.2801093506</v>
      </c>
      <c r="AH403" s="3">
        <f t="shared" si="109"/>
        <v>3.2558127283745242E-2</v>
      </c>
      <c r="AI403" s="3">
        <f t="shared" si="110"/>
        <v>-2.2316478179967795E-3</v>
      </c>
    </row>
    <row r="404" spans="19:35" x14ac:dyDescent="0.3">
      <c r="S404" s="6">
        <v>387</v>
      </c>
      <c r="T404" s="4">
        <f t="shared" si="96"/>
        <v>193.5</v>
      </c>
      <c r="U404" s="3">
        <f t="shared" si="97"/>
        <v>-6143537.2557520112</v>
      </c>
      <c r="V404" s="3">
        <f t="shared" si="98"/>
        <v>419955.41021109908</v>
      </c>
      <c r="W404" s="3">
        <f t="shared" si="99"/>
        <v>-30099.609582524263</v>
      </c>
      <c r="X404" s="3">
        <f t="shared" si="100"/>
        <v>2456.2864723099578</v>
      </c>
      <c r="Y404" s="3">
        <f t="shared" si="101"/>
        <v>6148484.3091014661</v>
      </c>
      <c r="Z404" s="3">
        <f t="shared" si="102"/>
        <v>-411227.05162092962</v>
      </c>
      <c r="AA404" s="3">
        <f t="shared" si="103"/>
        <v>6162220.9459943725</v>
      </c>
      <c r="AB404" s="3">
        <f t="shared" si="104"/>
        <v>6108484.3091014661</v>
      </c>
      <c r="AC404" s="3">
        <f t="shared" si="105"/>
        <v>-408727.05162092962</v>
      </c>
      <c r="AD404" s="3">
        <f t="shared" si="106"/>
        <v>6122143.2813407388</v>
      </c>
      <c r="AE404" s="3">
        <f t="shared" si="107"/>
        <v>6123484.3091014661</v>
      </c>
      <c r="AF404" s="3">
        <f t="shared" si="111"/>
        <v>-433727.05162092962</v>
      </c>
      <c r="AG404" s="3">
        <f t="shared" si="108"/>
        <v>6138825.5586162116</v>
      </c>
      <c r="AH404" s="3">
        <f t="shared" si="109"/>
        <v>3.239822599877331E-2</v>
      </c>
      <c r="AI404" s="3">
        <f t="shared" si="110"/>
        <v>-2.2217257531452457E-3</v>
      </c>
    </row>
    <row r="405" spans="19:35" x14ac:dyDescent="0.3">
      <c r="S405" s="6">
        <v>388</v>
      </c>
      <c r="T405" s="4">
        <f t="shared" si="96"/>
        <v>194</v>
      </c>
      <c r="U405" s="3">
        <f t="shared" si="97"/>
        <v>-6158587.0524437167</v>
      </c>
      <c r="V405" s="3">
        <f t="shared" si="98"/>
        <v>421183.55289182265</v>
      </c>
      <c r="W405" s="3">
        <f t="shared" si="99"/>
        <v>-30093.3243266805</v>
      </c>
      <c r="X405" s="3">
        <f t="shared" si="100"/>
        <v>2455.8554575138478</v>
      </c>
      <c r="Y405" s="3">
        <f t="shared" si="101"/>
        <v>6163537.2557520112</v>
      </c>
      <c r="Z405" s="3">
        <f t="shared" si="102"/>
        <v>-412455.41021109908</v>
      </c>
      <c r="AA405" s="3">
        <f t="shared" si="103"/>
        <v>6177322.3137906147</v>
      </c>
      <c r="AB405" s="3">
        <f t="shared" si="104"/>
        <v>6123537.2557520112</v>
      </c>
      <c r="AC405" s="3">
        <f t="shared" si="105"/>
        <v>-409955.41021109908</v>
      </c>
      <c r="AD405" s="3">
        <f t="shared" si="106"/>
        <v>6137244.6554577099</v>
      </c>
      <c r="AE405" s="3">
        <f t="shared" si="107"/>
        <v>6138537.2557520112</v>
      </c>
      <c r="AF405" s="3">
        <f t="shared" si="111"/>
        <v>-434955.41021109908</v>
      </c>
      <c r="AG405" s="3">
        <f t="shared" si="108"/>
        <v>6153927.6766246883</v>
      </c>
      <c r="AH405" s="3">
        <f t="shared" si="109"/>
        <v>3.2239532827143605E-2</v>
      </c>
      <c r="AI405" s="3">
        <f t="shared" si="110"/>
        <v>-2.2118712701475413E-3</v>
      </c>
    </row>
    <row r="406" spans="19:35" x14ac:dyDescent="0.3">
      <c r="S406" s="6">
        <v>389</v>
      </c>
      <c r="T406" s="4">
        <f t="shared" si="96"/>
        <v>194.5</v>
      </c>
      <c r="U406" s="3">
        <f t="shared" si="97"/>
        <v>-6173633.7065471737</v>
      </c>
      <c r="V406" s="3">
        <f t="shared" si="98"/>
        <v>422411.48006761173</v>
      </c>
      <c r="W406" s="3">
        <f t="shared" si="99"/>
        <v>-30087.053737545622</v>
      </c>
      <c r="X406" s="3">
        <f t="shared" si="100"/>
        <v>2455.4252485518041</v>
      </c>
      <c r="Y406" s="3">
        <f t="shared" si="101"/>
        <v>6178587.0524437167</v>
      </c>
      <c r="Z406" s="3">
        <f t="shared" si="102"/>
        <v>-413683.55289182265</v>
      </c>
      <c r="AA406" s="3">
        <f t="shared" si="103"/>
        <v>6192420.5321149128</v>
      </c>
      <c r="AB406" s="3">
        <f t="shared" si="104"/>
        <v>6138587.0524437167</v>
      </c>
      <c r="AC406" s="3">
        <f t="shared" si="105"/>
        <v>-411183.55289182265</v>
      </c>
      <c r="AD406" s="3">
        <f t="shared" si="106"/>
        <v>6152342.8801228544</v>
      </c>
      <c r="AE406" s="3">
        <f t="shared" si="107"/>
        <v>6153587.0524437167</v>
      </c>
      <c r="AF406" s="3">
        <f t="shared" si="111"/>
        <v>-436183.55289182265</v>
      </c>
      <c r="AG406" s="3">
        <f t="shared" si="108"/>
        <v>6169026.6415226543</v>
      </c>
      <c r="AH406" s="3">
        <f t="shared" si="109"/>
        <v>3.2082035481331782E-2</v>
      </c>
      <c r="AI406" s="3">
        <f t="shared" si="110"/>
        <v>-2.2020837537303686E-3</v>
      </c>
    </row>
    <row r="407" spans="19:35" x14ac:dyDescent="0.3">
      <c r="S407" s="6">
        <v>390</v>
      </c>
      <c r="T407" s="4">
        <f t="shared" si="96"/>
        <v>195</v>
      </c>
      <c r="U407" s="3">
        <f t="shared" si="97"/>
        <v>-6188677.2253954373</v>
      </c>
      <c r="V407" s="3">
        <f t="shared" si="98"/>
        <v>423639.19214136666</v>
      </c>
      <c r="W407" s="3">
        <f t="shared" si="99"/>
        <v>-30080.797740626764</v>
      </c>
      <c r="X407" s="3">
        <f t="shared" si="100"/>
        <v>2454.9958422198265</v>
      </c>
      <c r="Y407" s="3">
        <f t="shared" si="101"/>
        <v>6193633.7065471737</v>
      </c>
      <c r="Z407" s="3">
        <f t="shared" si="102"/>
        <v>-414911.48006761173</v>
      </c>
      <c r="AA407" s="3">
        <f t="shared" si="103"/>
        <v>6207515.6082904199</v>
      </c>
      <c r="AB407" s="3">
        <f t="shared" si="104"/>
        <v>6153633.7065471737</v>
      </c>
      <c r="AC407" s="3">
        <f t="shared" si="105"/>
        <v>-412411.48006761173</v>
      </c>
      <c r="AD407" s="3">
        <f t="shared" si="106"/>
        <v>6167437.9626588104</v>
      </c>
      <c r="AE407" s="3">
        <f t="shared" si="107"/>
        <v>6168633.7065471737</v>
      </c>
      <c r="AF407" s="3">
        <f t="shared" si="111"/>
        <v>-437411.48006761173</v>
      </c>
      <c r="AG407" s="3">
        <f t="shared" si="108"/>
        <v>6184122.4606604343</v>
      </c>
      <c r="AH407" s="3">
        <f t="shared" si="109"/>
        <v>3.1925721830693088E-2</v>
      </c>
      <c r="AI407" s="3">
        <f t="shared" si="110"/>
        <v>-2.1923625955837895E-3</v>
      </c>
    </row>
    <row r="408" spans="19:35" x14ac:dyDescent="0.3">
      <c r="S408" s="6">
        <v>391</v>
      </c>
      <c r="T408" s="4">
        <f t="shared" si="96"/>
        <v>195.5</v>
      </c>
      <c r="U408" s="3">
        <f t="shared" si="97"/>
        <v>-6203717.6162843201</v>
      </c>
      <c r="V408" s="3">
        <f t="shared" si="98"/>
        <v>424866.68951438589</v>
      </c>
      <c r="W408" s="3">
        <f t="shared" si="99"/>
        <v>-30074.556262008864</v>
      </c>
      <c r="X408" s="3">
        <f t="shared" si="100"/>
        <v>2454.5672353323898</v>
      </c>
      <c r="Y408" s="3">
        <f t="shared" si="101"/>
        <v>6208677.2253954373</v>
      </c>
      <c r="Z408" s="3">
        <f t="shared" si="102"/>
        <v>-416139.19214136666</v>
      </c>
      <c r="AA408" s="3">
        <f t="shared" si="103"/>
        <v>6222607.5496033058</v>
      </c>
      <c r="AB408" s="3">
        <f t="shared" si="104"/>
        <v>6168677.2253954373</v>
      </c>
      <c r="AC408" s="3">
        <f t="shared" si="105"/>
        <v>-413639.19214136666</v>
      </c>
      <c r="AD408" s="3">
        <f t="shared" si="106"/>
        <v>6182529.9103512401</v>
      </c>
      <c r="AE408" s="3">
        <f t="shared" si="107"/>
        <v>6183677.2253954373</v>
      </c>
      <c r="AF408" s="3">
        <f t="shared" si="111"/>
        <v>-438639.19214136666</v>
      </c>
      <c r="AG408" s="3">
        <f t="shared" si="108"/>
        <v>6199215.1413510917</v>
      </c>
      <c r="AH408" s="3">
        <f t="shared" si="109"/>
        <v>3.1770579899054643E-2</v>
      </c>
      <c r="AI408" s="3">
        <f t="shared" si="110"/>
        <v>-2.1827071942677068E-3</v>
      </c>
    </row>
    <row r="409" spans="19:35" x14ac:dyDescent="0.3">
      <c r="S409" s="6">
        <v>392</v>
      </c>
      <c r="T409" s="4">
        <f t="shared" si="96"/>
        <v>196</v>
      </c>
      <c r="U409" s="3">
        <f t="shared" si="97"/>
        <v>-6218754.8864726797</v>
      </c>
      <c r="V409" s="3">
        <f t="shared" si="98"/>
        <v>426093.97258637531</v>
      </c>
      <c r="W409" s="3">
        <f t="shared" si="99"/>
        <v>-30068.329228348648</v>
      </c>
      <c r="X409" s="3">
        <f t="shared" si="100"/>
        <v>2454.1394247223134</v>
      </c>
      <c r="Y409" s="3">
        <f t="shared" si="101"/>
        <v>6223717.6162843201</v>
      </c>
      <c r="Z409" s="3">
        <f t="shared" si="102"/>
        <v>-417366.68951438589</v>
      </c>
      <c r="AA409" s="3">
        <f t="shared" si="103"/>
        <v>6237696.3633030402</v>
      </c>
      <c r="AB409" s="3">
        <f t="shared" si="104"/>
        <v>6183717.6162843201</v>
      </c>
      <c r="AC409" s="3">
        <f t="shared" si="105"/>
        <v>-414866.68951438589</v>
      </c>
      <c r="AD409" s="3">
        <f t="shared" si="106"/>
        <v>6197618.7304491112</v>
      </c>
      <c r="AE409" s="3">
        <f t="shared" si="107"/>
        <v>6198717.6162843201</v>
      </c>
      <c r="AF409" s="3">
        <f t="shared" si="111"/>
        <v>-439866.68951438589</v>
      </c>
      <c r="AG409" s="3">
        <f t="shared" si="108"/>
        <v>6214304.6908707255</v>
      </c>
      <c r="AH409" s="3">
        <f t="shared" si="109"/>
        <v>3.1616597862350951E-2</v>
      </c>
      <c r="AI409" s="3">
        <f t="shared" si="110"/>
        <v>-2.173116955119779E-3</v>
      </c>
    </row>
    <row r="410" spans="19:35" x14ac:dyDescent="0.3">
      <c r="S410" s="6">
        <v>393</v>
      </c>
      <c r="T410" s="4">
        <f t="shared" si="96"/>
        <v>196.5</v>
      </c>
      <c r="U410" s="3">
        <f t="shared" si="97"/>
        <v>-6233789.0431827046</v>
      </c>
      <c r="V410" s="3">
        <f t="shared" si="98"/>
        <v>427321.04175545723</v>
      </c>
      <c r="W410" s="3">
        <f t="shared" si="99"/>
        <v>-30062.116566868695</v>
      </c>
      <c r="X410" s="3">
        <f t="shared" si="100"/>
        <v>2453.7124072406323</v>
      </c>
      <c r="Y410" s="3">
        <f t="shared" si="101"/>
        <v>6238754.8864726797</v>
      </c>
      <c r="Z410" s="3">
        <f t="shared" si="102"/>
        <v>-418593.97258637531</v>
      </c>
      <c r="AA410" s="3">
        <f t="shared" si="103"/>
        <v>6252782.0566026745</v>
      </c>
      <c r="AB410" s="3">
        <f t="shared" si="104"/>
        <v>6198754.8864726797</v>
      </c>
      <c r="AC410" s="3">
        <f t="shared" si="105"/>
        <v>-416093.97258637531</v>
      </c>
      <c r="AD410" s="3">
        <f t="shared" si="106"/>
        <v>6212704.4301649854</v>
      </c>
      <c r="AE410" s="3">
        <f t="shared" si="107"/>
        <v>6213754.8864726797</v>
      </c>
      <c r="AF410" s="3">
        <f t="shared" si="111"/>
        <v>-441093.97258637531</v>
      </c>
      <c r="AG410" s="3">
        <f t="shared" si="108"/>
        <v>6229391.1164587457</v>
      </c>
      <c r="AH410" s="3">
        <f t="shared" si="109"/>
        <v>3.1463764046301426E-2</v>
      </c>
      <c r="AI410" s="3">
        <f t="shared" si="110"/>
        <v>-2.1635912901647554E-3</v>
      </c>
    </row>
    <row r="411" spans="19:35" x14ac:dyDescent="0.3">
      <c r="S411" s="6">
        <v>394</v>
      </c>
      <c r="T411" s="4">
        <f t="shared" si="96"/>
        <v>197</v>
      </c>
      <c r="U411" s="3">
        <f t="shared" si="97"/>
        <v>-6248820.0936001977</v>
      </c>
      <c r="V411" s="3">
        <f t="shared" si="98"/>
        <v>428547.89741817972</v>
      </c>
      <c r="W411" s="3">
        <f t="shared" si="99"/>
        <v>-30055.918205351572</v>
      </c>
      <c r="X411" s="3">
        <f t="shared" si="100"/>
        <v>2453.2861797564697</v>
      </c>
      <c r="Y411" s="3">
        <f t="shared" si="101"/>
        <v>6253789.0431827046</v>
      </c>
      <c r="Z411" s="3">
        <f t="shared" si="102"/>
        <v>-419821.04175545723</v>
      </c>
      <c r="AA411" s="3">
        <f t="shared" si="103"/>
        <v>6267864.6366791213</v>
      </c>
      <c r="AB411" s="3">
        <f t="shared" si="104"/>
        <v>6213789.0431827046</v>
      </c>
      <c r="AC411" s="3">
        <f t="shared" si="105"/>
        <v>-417321.04175545723</v>
      </c>
      <c r="AD411" s="3">
        <f t="shared" si="106"/>
        <v>6227787.0166752888</v>
      </c>
      <c r="AE411" s="3">
        <f t="shared" si="107"/>
        <v>6228789.0431827046</v>
      </c>
      <c r="AF411" s="3">
        <f t="shared" si="111"/>
        <v>-442321.04175545723</v>
      </c>
      <c r="AG411" s="3">
        <f t="shared" si="108"/>
        <v>6244474.4253181582</v>
      </c>
      <c r="AH411" s="3">
        <f t="shared" si="109"/>
        <v>3.1312066924128933E-2</v>
      </c>
      <c r="AI411" s="3">
        <f t="shared" si="110"/>
        <v>-2.1541296180251595E-3</v>
      </c>
    </row>
    <row r="412" spans="19:35" x14ac:dyDescent="0.3">
      <c r="S412" s="6">
        <v>395</v>
      </c>
      <c r="T412" s="4">
        <f t="shared" si="96"/>
        <v>197.5</v>
      </c>
      <c r="U412" s="3">
        <f t="shared" si="97"/>
        <v>-6263848.0448748572</v>
      </c>
      <c r="V412" s="3">
        <f t="shared" si="98"/>
        <v>429774.53996952559</v>
      </c>
      <c r="W412" s="3">
        <f t="shared" si="99"/>
        <v>-30049.734072134055</v>
      </c>
      <c r="X412" s="3">
        <f t="shared" si="100"/>
        <v>2452.8607391569099</v>
      </c>
      <c r="Y412" s="3">
        <f t="shared" si="101"/>
        <v>6268820.0936001977</v>
      </c>
      <c r="Z412" s="3">
        <f t="shared" si="102"/>
        <v>-421047.89741817972</v>
      </c>
      <c r="AA412" s="3">
        <f t="shared" si="103"/>
        <v>6282944.1106734248</v>
      </c>
      <c r="AB412" s="3">
        <f t="shared" si="104"/>
        <v>6228820.0936001977</v>
      </c>
      <c r="AC412" s="3">
        <f t="shared" si="105"/>
        <v>-418547.89741817972</v>
      </c>
      <c r="AD412" s="3">
        <f t="shared" si="106"/>
        <v>6242866.4971205946</v>
      </c>
      <c r="AE412" s="3">
        <f t="shared" si="107"/>
        <v>6243820.0936001977</v>
      </c>
      <c r="AF412" s="3">
        <f t="shared" si="111"/>
        <v>-443547.89741817972</v>
      </c>
      <c r="AG412" s="3">
        <f t="shared" si="108"/>
        <v>6259554.624615849</v>
      </c>
      <c r="AH412" s="3">
        <f t="shared" si="109"/>
        <v>3.1161495114320207E-2</v>
      </c>
      <c r="AI412" s="3">
        <f t="shared" si="110"/>
        <v>-2.1447313638334464E-3</v>
      </c>
    </row>
    <row r="413" spans="19:35" x14ac:dyDescent="0.3">
      <c r="S413" s="6">
        <v>396</v>
      </c>
      <c r="T413" s="4">
        <f t="shared" si="96"/>
        <v>198</v>
      </c>
      <c r="U413" s="3">
        <f t="shared" si="97"/>
        <v>-6278872.9041205505</v>
      </c>
      <c r="V413" s="3">
        <f t="shared" si="98"/>
        <v>431000.96980292123</v>
      </c>
      <c r="W413" s="3">
        <f t="shared" si="99"/>
        <v>-30043.564096101421</v>
      </c>
      <c r="X413" s="3">
        <f t="shared" si="100"/>
        <v>2452.436082346871</v>
      </c>
      <c r="Y413" s="3">
        <f t="shared" si="101"/>
        <v>6283848.0448748572</v>
      </c>
      <c r="Z413" s="3">
        <f t="shared" si="102"/>
        <v>-422274.53996952559</v>
      </c>
      <c r="AA413" s="3">
        <f t="shared" si="103"/>
        <v>6298020.4856910426</v>
      </c>
      <c r="AB413" s="3">
        <f t="shared" si="104"/>
        <v>6243848.0448748572</v>
      </c>
      <c r="AC413" s="3">
        <f t="shared" si="105"/>
        <v>-419774.53996952559</v>
      </c>
      <c r="AD413" s="3">
        <f t="shared" si="106"/>
        <v>6257942.878605892</v>
      </c>
      <c r="AE413" s="3">
        <f t="shared" si="107"/>
        <v>6258848.0448748572</v>
      </c>
      <c r="AF413" s="3">
        <f t="shared" si="111"/>
        <v>-444774.53996952559</v>
      </c>
      <c r="AG413" s="3">
        <f t="shared" si="108"/>
        <v>6274631.7214828571</v>
      </c>
      <c r="AH413" s="3">
        <f t="shared" si="109"/>
        <v>3.1012037378424735E-2</v>
      </c>
      <c r="AI413" s="3">
        <f t="shared" si="110"/>
        <v>-2.1353959591454085E-3</v>
      </c>
    </row>
    <row r="414" spans="19:35" x14ac:dyDescent="0.3">
      <c r="S414" s="6">
        <v>397</v>
      </c>
      <c r="T414" s="4">
        <f t="shared" si="96"/>
        <v>198.5</v>
      </c>
      <c r="U414" s="3">
        <f t="shared" si="97"/>
        <v>-6293894.6784155918</v>
      </c>
      <c r="V414" s="3">
        <f t="shared" si="98"/>
        <v>432227.18731024564</v>
      </c>
      <c r="W414" s="3">
        <f t="shared" si="99"/>
        <v>-30037.408206681805</v>
      </c>
      <c r="X414" s="3">
        <f t="shared" si="100"/>
        <v>2452.0122062489804</v>
      </c>
      <c r="Y414" s="3">
        <f t="shared" si="101"/>
        <v>6298872.9041205505</v>
      </c>
      <c r="Z414" s="3">
        <f t="shared" si="102"/>
        <v>-423500.96980292123</v>
      </c>
      <c r="AA414" s="3">
        <f t="shared" si="103"/>
        <v>6313093.7688021129</v>
      </c>
      <c r="AB414" s="3">
        <f t="shared" si="104"/>
        <v>6258872.9041205505</v>
      </c>
      <c r="AC414" s="3">
        <f t="shared" si="105"/>
        <v>-421000.96980292123</v>
      </c>
      <c r="AD414" s="3">
        <f t="shared" si="106"/>
        <v>6273016.1682008607</v>
      </c>
      <c r="AE414" s="3">
        <f t="shared" si="107"/>
        <v>6273872.9041205505</v>
      </c>
      <c r="AF414" s="3">
        <f t="shared" si="111"/>
        <v>-446000.96980292123</v>
      </c>
      <c r="AG414" s="3">
        <f t="shared" si="108"/>
        <v>6289705.7230146453</v>
      </c>
      <c r="AH414" s="3">
        <f t="shared" si="109"/>
        <v>3.086368261889226E-2</v>
      </c>
      <c r="AI414" s="3">
        <f t="shared" si="110"/>
        <v>-2.1261228418548907E-3</v>
      </c>
    </row>
    <row r="415" spans="19:35" x14ac:dyDescent="0.3">
      <c r="S415" s="6">
        <v>398</v>
      </c>
      <c r="T415" s="4">
        <f t="shared" si="96"/>
        <v>199</v>
      </c>
      <c r="U415" s="3">
        <f t="shared" si="97"/>
        <v>-6308913.3748030122</v>
      </c>
      <c r="V415" s="3">
        <f t="shared" si="98"/>
        <v>433453.19288183941</v>
      </c>
      <c r="W415" s="3">
        <f t="shared" si="99"/>
        <v>-30031.266333840646</v>
      </c>
      <c r="X415" s="3">
        <f t="shared" si="100"/>
        <v>2451.5891078034515</v>
      </c>
      <c r="Y415" s="3">
        <f t="shared" si="101"/>
        <v>6313894.6784155918</v>
      </c>
      <c r="Z415" s="3">
        <f t="shared" si="102"/>
        <v>-424727.18731024564</v>
      </c>
      <c r="AA415" s="3">
        <f t="shared" si="103"/>
        <v>6328163.9670417197</v>
      </c>
      <c r="AB415" s="3">
        <f t="shared" si="104"/>
        <v>6273894.6784155918</v>
      </c>
      <c r="AC415" s="3">
        <f t="shared" si="105"/>
        <v>-422227.18731024564</v>
      </c>
      <c r="AD415" s="3">
        <f t="shared" si="106"/>
        <v>6288086.3729401333</v>
      </c>
      <c r="AE415" s="3">
        <f t="shared" si="107"/>
        <v>6288894.6784155918</v>
      </c>
      <c r="AF415" s="3">
        <f t="shared" si="111"/>
        <v>-447227.18731024564</v>
      </c>
      <c r="AG415" s="3">
        <f t="shared" si="108"/>
        <v>6304776.6362713743</v>
      </c>
      <c r="AH415" s="3">
        <f t="shared" si="109"/>
        <v>3.0716419876950347E-2</v>
      </c>
      <c r="AI415" s="3">
        <f t="shared" si="110"/>
        <v>-2.1169114561099362E-3</v>
      </c>
    </row>
    <row r="416" spans="19:35" x14ac:dyDescent="0.3">
      <c r="S416" s="6">
        <v>399</v>
      </c>
      <c r="T416" s="4">
        <f t="shared" si="96"/>
        <v>199.5</v>
      </c>
      <c r="U416" s="3">
        <f t="shared" si="97"/>
        <v>-6323929.0002908278</v>
      </c>
      <c r="V416" s="3">
        <f t="shared" si="98"/>
        <v>434678.98690651328</v>
      </c>
      <c r="W416" s="3">
        <f t="shared" si="99"/>
        <v>-30025.138408075192</v>
      </c>
      <c r="X416" s="3">
        <f t="shared" si="100"/>
        <v>2451.1667839679576</v>
      </c>
      <c r="Y416" s="3">
        <f t="shared" si="101"/>
        <v>6328913.3748030122</v>
      </c>
      <c r="Z416" s="3">
        <f t="shared" si="102"/>
        <v>-425953.19288183941</v>
      </c>
      <c r="AA416" s="3">
        <f t="shared" si="103"/>
        <v>6343231.0874101603</v>
      </c>
      <c r="AB416" s="3">
        <f t="shared" si="104"/>
        <v>6288913.3748030122</v>
      </c>
      <c r="AC416" s="3">
        <f t="shared" si="105"/>
        <v>-423453.19288183941</v>
      </c>
      <c r="AD416" s="3">
        <f t="shared" si="106"/>
        <v>6303153.4998235637</v>
      </c>
      <c r="AE416" s="3">
        <f t="shared" si="107"/>
        <v>6303913.3748030122</v>
      </c>
      <c r="AF416" s="3">
        <f t="shared" si="111"/>
        <v>-448453.19288183941</v>
      </c>
      <c r="AG416" s="3">
        <f t="shared" si="108"/>
        <v>6319844.4682781724</v>
      </c>
      <c r="AH416" s="3">
        <f t="shared" si="109"/>
        <v>3.0570238330517238E-2</v>
      </c>
      <c r="AI416" s="3">
        <f t="shared" si="110"/>
        <v>-2.1077612522300603E-3</v>
      </c>
    </row>
    <row r="417" spans="19:35" x14ac:dyDescent="0.3">
      <c r="S417" s="6">
        <v>400</v>
      </c>
      <c r="T417" s="4">
        <f t="shared" si="96"/>
        <v>200</v>
      </c>
      <c r="U417" s="3">
        <f t="shared" si="97"/>
        <v>-6338941.5618523061</v>
      </c>
      <c r="V417" s="3">
        <f t="shared" si="98"/>
        <v>435904.56977155694</v>
      </c>
      <c r="W417" s="3">
        <f t="shared" si="99"/>
        <v>-30019.02436040909</v>
      </c>
      <c r="X417" s="3">
        <f t="shared" si="100"/>
        <v>2450.7452317175116</v>
      </c>
      <c r="Y417" s="3">
        <f t="shared" si="101"/>
        <v>6343929.0002908278</v>
      </c>
      <c r="Z417" s="3">
        <f t="shared" si="102"/>
        <v>-427178.98690651328</v>
      </c>
      <c r="AA417" s="3">
        <f t="shared" si="103"/>
        <v>6358295.1368732061</v>
      </c>
      <c r="AB417" s="3">
        <f t="shared" si="104"/>
        <v>6303929.0002908278</v>
      </c>
      <c r="AC417" s="3">
        <f t="shared" si="105"/>
        <v>-424678.98690651328</v>
      </c>
      <c r="AD417" s="3">
        <f t="shared" si="106"/>
        <v>6318217.5558164874</v>
      </c>
      <c r="AE417" s="3">
        <f t="shared" si="107"/>
        <v>6318929.0002908278</v>
      </c>
      <c r="AF417" s="3">
        <f t="shared" si="111"/>
        <v>-449678.98690651328</v>
      </c>
      <c r="AG417" s="3">
        <f t="shared" si="108"/>
        <v>6334909.2260253979</v>
      </c>
      <c r="AH417" s="3">
        <f t="shared" si="109"/>
        <v>3.0425127292152354E-2</v>
      </c>
      <c r="AI417" s="3">
        <f t="shared" si="110"/>
        <v>-2.0986716866248632E-3</v>
      </c>
    </row>
    <row r="418" spans="19:35" x14ac:dyDescent="0.3">
      <c r="S418" s="6">
        <v>401</v>
      </c>
      <c r="T418" s="4">
        <f t="shared" si="96"/>
        <v>200.5</v>
      </c>
      <c r="U418" s="3">
        <f t="shared" si="97"/>
        <v>-6353951.0664262287</v>
      </c>
      <c r="V418" s="3">
        <f t="shared" si="98"/>
        <v>437129.94186274777</v>
      </c>
      <c r="W418" s="3">
        <f t="shared" si="99"/>
        <v>-30012.924122387012</v>
      </c>
      <c r="X418" s="3">
        <f t="shared" si="100"/>
        <v>2450.3244480443432</v>
      </c>
      <c r="Y418" s="3">
        <f t="shared" si="101"/>
        <v>6358941.5618523061</v>
      </c>
      <c r="Z418" s="3">
        <f t="shared" si="102"/>
        <v>-428404.56977155694</v>
      </c>
      <c r="AA418" s="3">
        <f t="shared" si="103"/>
        <v>6373356.1223623622</v>
      </c>
      <c r="AB418" s="3">
        <f t="shared" si="104"/>
        <v>6318941.5618523061</v>
      </c>
      <c r="AC418" s="3">
        <f t="shared" si="105"/>
        <v>-425904.56977155694</v>
      </c>
      <c r="AD418" s="3">
        <f t="shared" si="106"/>
        <v>6333278.5478499802</v>
      </c>
      <c r="AE418" s="3">
        <f t="shared" si="107"/>
        <v>6333941.5618523061</v>
      </c>
      <c r="AF418" s="3">
        <f t="shared" si="111"/>
        <v>-450904.56977155694</v>
      </c>
      <c r="AG418" s="3">
        <f t="shared" si="108"/>
        <v>6349970.9164689016</v>
      </c>
      <c r="AH418" s="3">
        <f t="shared" si="109"/>
        <v>3.0281076207042196E-2</v>
      </c>
      <c r="AI418" s="3">
        <f t="shared" si="110"/>
        <v>-2.0896422217138331E-3</v>
      </c>
    </row>
    <row r="419" spans="19:35" x14ac:dyDescent="0.3">
      <c r="S419" s="6">
        <v>402</v>
      </c>
      <c r="T419" s="4">
        <f t="shared" si="96"/>
        <v>201</v>
      </c>
      <c r="U419" s="3">
        <f t="shared" si="97"/>
        <v>-6368957.520917153</v>
      </c>
      <c r="V419" s="3">
        <f t="shared" si="98"/>
        <v>438355.10356435936</v>
      </c>
      <c r="W419" s="3">
        <f t="shared" si="99"/>
        <v>-30006.837626069395</v>
      </c>
      <c r="X419" s="3">
        <f t="shared" si="100"/>
        <v>2449.9044299577786</v>
      </c>
      <c r="Y419" s="3">
        <f t="shared" si="101"/>
        <v>6373951.0664262287</v>
      </c>
      <c r="Z419" s="3">
        <f t="shared" si="102"/>
        <v>-429629.94186274777</v>
      </c>
      <c r="AA419" s="3">
        <f t="shared" si="103"/>
        <v>6388414.0507751247</v>
      </c>
      <c r="AB419" s="3">
        <f t="shared" si="104"/>
        <v>6333951.0664262287</v>
      </c>
      <c r="AC419" s="3">
        <f t="shared" si="105"/>
        <v>-427129.94186274777</v>
      </c>
      <c r="AD419" s="3">
        <f t="shared" si="106"/>
        <v>6348336.4828211199</v>
      </c>
      <c r="AE419" s="3">
        <f t="shared" si="107"/>
        <v>6348951.0664262287</v>
      </c>
      <c r="AF419" s="3">
        <f t="shared" si="111"/>
        <v>-452129.94186274777</v>
      </c>
      <c r="AG419" s="3">
        <f t="shared" si="108"/>
        <v>6365029.5465302877</v>
      </c>
      <c r="AH419" s="3">
        <f t="shared" si="109"/>
        <v>3.0138074651022258E-2</v>
      </c>
      <c r="AI419" s="3">
        <f t="shared" si="110"/>
        <v>-2.0806723258474267E-3</v>
      </c>
    </row>
    <row r="420" spans="19:35" x14ac:dyDescent="0.3">
      <c r="S420" s="6">
        <v>403</v>
      </c>
      <c r="T420" s="4">
        <f t="shared" si="96"/>
        <v>201.5</v>
      </c>
      <c r="U420" s="3">
        <f t="shared" si="97"/>
        <v>-6383960.932195669</v>
      </c>
      <c r="V420" s="3">
        <f t="shared" si="98"/>
        <v>439580.05525917013</v>
      </c>
      <c r="W420" s="3">
        <f t="shared" si="99"/>
        <v>-30000.764804027214</v>
      </c>
      <c r="X420" s="3">
        <f t="shared" si="100"/>
        <v>2449.4851744841203</v>
      </c>
      <c r="Y420" s="3">
        <f t="shared" si="101"/>
        <v>6388957.520917153</v>
      </c>
      <c r="Z420" s="3">
        <f t="shared" si="102"/>
        <v>-430855.10356435936</v>
      </c>
      <c r="AA420" s="3">
        <f t="shared" si="103"/>
        <v>6403468.9289752394</v>
      </c>
      <c r="AB420" s="3">
        <f t="shared" si="104"/>
        <v>6348957.520917153</v>
      </c>
      <c r="AC420" s="3">
        <f t="shared" si="105"/>
        <v>-428355.10356435936</v>
      </c>
      <c r="AD420" s="3">
        <f t="shared" si="106"/>
        <v>6363391.3675932363</v>
      </c>
      <c r="AE420" s="3">
        <f t="shared" si="107"/>
        <v>6363957.520917153</v>
      </c>
      <c r="AF420" s="3">
        <f t="shared" si="111"/>
        <v>-453355.10356435936</v>
      </c>
      <c r="AG420" s="3">
        <f t="shared" si="108"/>
        <v>6380085.1230971711</v>
      </c>
      <c r="AH420" s="3">
        <f t="shared" si="109"/>
        <v>2.9996112328632144E-2</v>
      </c>
      <c r="AI420" s="3">
        <f t="shared" si="110"/>
        <v>-2.0717614732292554E-3</v>
      </c>
    </row>
    <row r="421" spans="19:35" x14ac:dyDescent="0.3">
      <c r="S421" s="6">
        <v>404</v>
      </c>
      <c r="T421" s="4">
        <f t="shared" si="96"/>
        <v>202</v>
      </c>
      <c r="U421" s="3">
        <f t="shared" si="97"/>
        <v>-6398961.307098655</v>
      </c>
      <c r="V421" s="3">
        <f t="shared" si="98"/>
        <v>440804.79732847179</v>
      </c>
      <c r="W421" s="3">
        <f t="shared" si="99"/>
        <v>-29994.705589336831</v>
      </c>
      <c r="X421" s="3">
        <f t="shared" si="100"/>
        <v>2449.0666786665279</v>
      </c>
      <c r="Y421" s="3">
        <f t="shared" si="101"/>
        <v>6403960.932195669</v>
      </c>
      <c r="Z421" s="3">
        <f t="shared" si="102"/>
        <v>-432080.05525917013</v>
      </c>
      <c r="AA421" s="3">
        <f t="shared" si="103"/>
        <v>6418520.763792946</v>
      </c>
      <c r="AB421" s="3">
        <f t="shared" si="104"/>
        <v>6363960.932195669</v>
      </c>
      <c r="AC421" s="3">
        <f t="shared" si="105"/>
        <v>-429580.05525917013</v>
      </c>
      <c r="AD421" s="3">
        <f t="shared" si="106"/>
        <v>6378443.20899616</v>
      </c>
      <c r="AE421" s="3">
        <f t="shared" si="107"/>
        <v>6378960.932195669</v>
      </c>
      <c r="AF421" s="3">
        <f t="shared" si="111"/>
        <v>-454580.05525917013</v>
      </c>
      <c r="AG421" s="3">
        <f t="shared" si="108"/>
        <v>6395137.6530234339</v>
      </c>
      <c r="AH421" s="3">
        <f t="shared" si="109"/>
        <v>2.985517907120562E-2</v>
      </c>
      <c r="AI421" s="3">
        <f t="shared" si="110"/>
        <v>-2.0629091438395253E-3</v>
      </c>
    </row>
    <row r="422" spans="19:35" x14ac:dyDescent="0.3">
      <c r="S422" s="6">
        <v>405</v>
      </c>
      <c r="T422" s="4">
        <f t="shared" si="96"/>
        <v>202.5</v>
      </c>
      <c r="U422" s="3">
        <f t="shared" si="97"/>
        <v>-6413958.6524295285</v>
      </c>
      <c r="V422" s="3">
        <f t="shared" si="98"/>
        <v>442029.33015207777</v>
      </c>
      <c r="W422" s="3">
        <f t="shared" si="99"/>
        <v>-29988.65991557491</v>
      </c>
      <c r="X422" s="3">
        <f t="shared" si="100"/>
        <v>2448.6489395649005</v>
      </c>
      <c r="Y422" s="3">
        <f t="shared" si="101"/>
        <v>6418961.307098655</v>
      </c>
      <c r="Z422" s="3">
        <f t="shared" si="102"/>
        <v>-433304.79732847179</v>
      </c>
      <c r="AA422" s="3">
        <f t="shared" si="103"/>
        <v>6433569.5620252322</v>
      </c>
      <c r="AB422" s="3">
        <f t="shared" si="104"/>
        <v>6378961.307098655</v>
      </c>
      <c r="AC422" s="3">
        <f t="shared" si="105"/>
        <v>-430804.79732847179</v>
      </c>
      <c r="AD422" s="3">
        <f t="shared" si="106"/>
        <v>6393492.013826482</v>
      </c>
      <c r="AE422" s="3">
        <f t="shared" si="107"/>
        <v>6393961.307098655</v>
      </c>
      <c r="AF422" s="3">
        <f t="shared" si="111"/>
        <v>-455804.79732847179</v>
      </c>
      <c r="AG422" s="3">
        <f t="shared" si="108"/>
        <v>6410187.1431294726</v>
      </c>
      <c r="AH422" s="3">
        <f t="shared" si="109"/>
        <v>2.9715264834993094E-2</v>
      </c>
      <c r="AI422" s="3">
        <f t="shared" si="110"/>
        <v>-2.0541148233595785E-3</v>
      </c>
    </row>
    <row r="423" spans="19:35" x14ac:dyDescent="0.3">
      <c r="S423" s="6">
        <v>406</v>
      </c>
      <c r="T423" s="4">
        <f t="shared" si="96"/>
        <v>203</v>
      </c>
      <c r="U423" s="3">
        <f t="shared" si="97"/>
        <v>-6428952.9749584999</v>
      </c>
      <c r="V423" s="3">
        <f t="shared" si="98"/>
        <v>443253.65410833154</v>
      </c>
      <c r="W423" s="3">
        <f t="shared" si="99"/>
        <v>-29982.627716813407</v>
      </c>
      <c r="X423" s="3">
        <f t="shared" si="100"/>
        <v>2448.2319542557584</v>
      </c>
      <c r="Y423" s="3">
        <f t="shared" si="101"/>
        <v>6433958.6524295285</v>
      </c>
      <c r="Z423" s="3">
        <f t="shared" si="102"/>
        <v>-434529.33015207777</v>
      </c>
      <c r="AA423" s="3">
        <f t="shared" si="103"/>
        <v>6448615.3304360779</v>
      </c>
      <c r="AB423" s="3">
        <f t="shared" si="104"/>
        <v>6393958.6524295285</v>
      </c>
      <c r="AC423" s="3">
        <f t="shared" si="105"/>
        <v>-432029.33015207777</v>
      </c>
      <c r="AD423" s="3">
        <f t="shared" si="106"/>
        <v>6408537.7888477873</v>
      </c>
      <c r="AE423" s="3">
        <f t="shared" si="107"/>
        <v>6408958.6524295285</v>
      </c>
      <c r="AF423" s="3">
        <f t="shared" si="111"/>
        <v>-457029.33015207777</v>
      </c>
      <c r="AG423" s="3">
        <f t="shared" si="108"/>
        <v>6425233.6002024533</v>
      </c>
      <c r="AH423" s="3">
        <f t="shared" si="109"/>
        <v>2.9576359699316518E-2</v>
      </c>
      <c r="AI423" s="3">
        <f t="shared" si="110"/>
        <v>-2.0453780030975752E-3</v>
      </c>
    </row>
    <row r="424" spans="19:35" x14ac:dyDescent="0.3">
      <c r="S424" s="6">
        <v>407</v>
      </c>
      <c r="T424" s="4">
        <f t="shared" si="96"/>
        <v>203.5</v>
      </c>
      <c r="U424" s="3">
        <f t="shared" si="97"/>
        <v>-6443944.2814228162</v>
      </c>
      <c r="V424" s="3">
        <f t="shared" si="98"/>
        <v>444477.76957411488</v>
      </c>
      <c r="W424" s="3">
        <f t="shared" si="99"/>
        <v>-29976.608927614598</v>
      </c>
      <c r="X424" s="3">
        <f t="shared" si="100"/>
        <v>2447.8157198321283</v>
      </c>
      <c r="Y424" s="3">
        <f t="shared" si="101"/>
        <v>6448952.9749584999</v>
      </c>
      <c r="Z424" s="3">
        <f t="shared" si="102"/>
        <v>-435753.65410833154</v>
      </c>
      <c r="AA424" s="3">
        <f t="shared" si="103"/>
        <v>6463658.0757567035</v>
      </c>
      <c r="AB424" s="3">
        <f t="shared" si="104"/>
        <v>6408952.9749584999</v>
      </c>
      <c r="AC424" s="3">
        <f t="shared" si="105"/>
        <v>-433253.65410833154</v>
      </c>
      <c r="AD424" s="3">
        <f t="shared" si="106"/>
        <v>6423580.540790909</v>
      </c>
      <c r="AE424" s="3">
        <f t="shared" si="107"/>
        <v>6423952.9749584999</v>
      </c>
      <c r="AF424" s="3">
        <f t="shared" si="111"/>
        <v>-458253.65410833154</v>
      </c>
      <c r="AG424" s="3">
        <f t="shared" si="108"/>
        <v>6440277.0309965555</v>
      </c>
      <c r="AH424" s="3">
        <f t="shared" si="109"/>
        <v>2.943845386475661E-2</v>
      </c>
      <c r="AI424" s="3">
        <f t="shared" si="110"/>
        <v>-2.036698179915314E-3</v>
      </c>
    </row>
    <row r="425" spans="19:35" x14ac:dyDescent="0.3">
      <c r="S425" s="6">
        <v>408</v>
      </c>
      <c r="T425" s="4">
        <f t="shared" si="96"/>
        <v>204</v>
      </c>
      <c r="U425" s="3">
        <f t="shared" si="97"/>
        <v>-6458932.57852701</v>
      </c>
      <c r="V425" s="3">
        <f t="shared" si="98"/>
        <v>445701.67692485638</v>
      </c>
      <c r="W425" s="3">
        <f t="shared" si="99"/>
        <v>-29970.603483026189</v>
      </c>
      <c r="X425" s="3">
        <f t="shared" si="100"/>
        <v>2447.4002334034253</v>
      </c>
      <c r="Y425" s="3">
        <f t="shared" si="101"/>
        <v>6463944.2814228162</v>
      </c>
      <c r="Z425" s="3">
        <f t="shared" si="102"/>
        <v>-436977.76957411488</v>
      </c>
      <c r="AA425" s="3">
        <f t="shared" si="103"/>
        <v>6478697.8046858069</v>
      </c>
      <c r="AB425" s="3">
        <f t="shared" si="104"/>
        <v>6423944.2814228162</v>
      </c>
      <c r="AC425" s="3">
        <f t="shared" si="105"/>
        <v>-434477.76957411488</v>
      </c>
      <c r="AD425" s="3">
        <f t="shared" si="106"/>
        <v>6438620.2763541667</v>
      </c>
      <c r="AE425" s="3">
        <f t="shared" si="107"/>
        <v>6438944.2814228162</v>
      </c>
      <c r="AF425" s="3">
        <f t="shared" si="111"/>
        <v>-459477.76957411488</v>
      </c>
      <c r="AG425" s="3">
        <f t="shared" si="108"/>
        <v>6455317.442233216</v>
      </c>
      <c r="AH425" s="3">
        <f t="shared" si="109"/>
        <v>2.9301537651370606E-2</v>
      </c>
      <c r="AI425" s="3">
        <f t="shared" si="110"/>
        <v>-2.0280748561561121E-3</v>
      </c>
    </row>
    <row r="426" spans="19:35" x14ac:dyDescent="0.3">
      <c r="S426" s="6">
        <v>409</v>
      </c>
      <c r="T426" s="4">
        <f t="shared" si="96"/>
        <v>204.5</v>
      </c>
      <c r="U426" s="3">
        <f t="shared" si="97"/>
        <v>-6473917.8729431387</v>
      </c>
      <c r="V426" s="3">
        <f t="shared" si="98"/>
        <v>446925.37653453939</v>
      </c>
      <c r="W426" s="3">
        <f t="shared" si="99"/>
        <v>-29964.611318576484</v>
      </c>
      <c r="X426" s="3">
        <f t="shared" si="100"/>
        <v>2446.9854920953412</v>
      </c>
      <c r="Y426" s="3">
        <f t="shared" si="101"/>
        <v>6478932.57852701</v>
      </c>
      <c r="Z426" s="3">
        <f t="shared" si="102"/>
        <v>-438201.67692485638</v>
      </c>
      <c r="AA426" s="3">
        <f t="shared" si="103"/>
        <v>6493734.5238898089</v>
      </c>
      <c r="AB426" s="3">
        <f t="shared" si="104"/>
        <v>6438932.57852701</v>
      </c>
      <c r="AC426" s="3">
        <f t="shared" si="105"/>
        <v>-435701.67692485638</v>
      </c>
      <c r="AD426" s="3">
        <f t="shared" si="106"/>
        <v>6453657.0022036051</v>
      </c>
      <c r="AE426" s="3">
        <f t="shared" si="107"/>
        <v>6453932.57852701</v>
      </c>
      <c r="AF426" s="3">
        <f t="shared" si="111"/>
        <v>-460701.67692485638</v>
      </c>
      <c r="AG426" s="3">
        <f t="shared" si="108"/>
        <v>6470354.8406013772</v>
      </c>
      <c r="AH426" s="3">
        <f t="shared" si="109"/>
        <v>2.916560149694148E-2</v>
      </c>
      <c r="AI426" s="3">
        <f t="shared" si="110"/>
        <v>-2.0195075395738229E-3</v>
      </c>
    </row>
    <row r="427" spans="19:35" x14ac:dyDescent="0.3">
      <c r="S427" s="6">
        <v>410</v>
      </c>
      <c r="T427" s="4">
        <f t="shared" si="96"/>
        <v>205</v>
      </c>
      <c r="U427" s="3">
        <f t="shared" si="97"/>
        <v>-6488900.1713110264</v>
      </c>
      <c r="V427" s="3">
        <f t="shared" si="98"/>
        <v>448148.86877571017</v>
      </c>
      <c r="W427" s="3">
        <f t="shared" si="99"/>
        <v>-29958.63237026961</v>
      </c>
      <c r="X427" s="3">
        <f t="shared" si="100"/>
        <v>2446.5714930497284</v>
      </c>
      <c r="Y427" s="3">
        <f t="shared" si="101"/>
        <v>6493917.8729431387</v>
      </c>
      <c r="Z427" s="3">
        <f t="shared" si="102"/>
        <v>-439425.37653453939</v>
      </c>
      <c r="AA427" s="3">
        <f t="shared" si="103"/>
        <v>6508768.2400030848</v>
      </c>
      <c r="AB427" s="3">
        <f t="shared" si="104"/>
        <v>6453917.8729431387</v>
      </c>
      <c r="AC427" s="3">
        <f t="shared" si="105"/>
        <v>-436925.37653453939</v>
      </c>
      <c r="AD427" s="3">
        <f t="shared" si="106"/>
        <v>6468690.7249732343</v>
      </c>
      <c r="AE427" s="3">
        <f t="shared" si="107"/>
        <v>6468917.8729431387</v>
      </c>
      <c r="AF427" s="3">
        <f t="shared" si="111"/>
        <v>-461925.37653453939</v>
      </c>
      <c r="AG427" s="3">
        <f t="shared" si="108"/>
        <v>6485389.2327577192</v>
      </c>
      <c r="AH427" s="3">
        <f t="shared" si="109"/>
        <v>2.9030635955255599E-2</v>
      </c>
      <c r="AI427" s="3">
        <f t="shared" si="110"/>
        <v>-2.0109957432628031E-3</v>
      </c>
    </row>
    <row r="428" spans="19:35" x14ac:dyDescent="0.3">
      <c r="S428" s="6">
        <v>411</v>
      </c>
      <c r="T428" s="4">
        <f t="shared" si="96"/>
        <v>205.5</v>
      </c>
      <c r="U428" s="3">
        <f t="shared" si="97"/>
        <v>-6503879.4802385019</v>
      </c>
      <c r="V428" s="3">
        <f t="shared" si="98"/>
        <v>449372.1540194861</v>
      </c>
      <c r="W428" s="3">
        <f t="shared" si="99"/>
        <v>-29952.666574580806</v>
      </c>
      <c r="X428" s="3">
        <f t="shared" si="100"/>
        <v>2446.1582334244877</v>
      </c>
      <c r="Y428" s="3">
        <f t="shared" si="101"/>
        <v>6508900.1713110264</v>
      </c>
      <c r="Z428" s="3">
        <f t="shared" si="102"/>
        <v>-440648.86877571017</v>
      </c>
      <c r="AA428" s="3">
        <f t="shared" si="103"/>
        <v>6523798.959628203</v>
      </c>
      <c r="AB428" s="3">
        <f t="shared" si="104"/>
        <v>6468900.1713110264</v>
      </c>
      <c r="AC428" s="3">
        <f t="shared" si="105"/>
        <v>-438148.86877571017</v>
      </c>
      <c r="AD428" s="3">
        <f t="shared" si="106"/>
        <v>6483721.4512652578</v>
      </c>
      <c r="AE428" s="3">
        <f t="shared" si="107"/>
        <v>6483900.1713110264</v>
      </c>
      <c r="AF428" s="3">
        <f t="shared" si="111"/>
        <v>-463148.86877571017</v>
      </c>
      <c r="AG428" s="3">
        <f t="shared" si="108"/>
        <v>6500420.6253269007</v>
      </c>
      <c r="AH428" s="3">
        <f t="shared" si="109"/>
        <v>2.8896631694411867E-2</v>
      </c>
      <c r="AI428" s="3">
        <f t="shared" si="110"/>
        <v>-2.0025389855890699E-3</v>
      </c>
    </row>
    <row r="429" spans="19:35" x14ac:dyDescent="0.3">
      <c r="S429" s="6">
        <v>412</v>
      </c>
      <c r="T429" s="4">
        <f t="shared" si="96"/>
        <v>206</v>
      </c>
      <c r="U429" s="3">
        <f t="shared" si="97"/>
        <v>-6518855.8063016338</v>
      </c>
      <c r="V429" s="3">
        <f t="shared" si="98"/>
        <v>450595.23263556365</v>
      </c>
      <c r="W429" s="3">
        <f t="shared" si="99"/>
        <v>-29946.713868451756</v>
      </c>
      <c r="X429" s="3">
        <f t="shared" si="100"/>
        <v>2445.7457103934562</v>
      </c>
      <c r="Y429" s="3">
        <f t="shared" si="101"/>
        <v>6523879.4802385019</v>
      </c>
      <c r="Z429" s="3">
        <f t="shared" si="102"/>
        <v>-441872.1540194861</v>
      </c>
      <c r="AA429" s="3">
        <f t="shared" si="103"/>
        <v>6538826.6893361537</v>
      </c>
      <c r="AB429" s="3">
        <f t="shared" si="104"/>
        <v>6483879.4802385019</v>
      </c>
      <c r="AC429" s="3">
        <f t="shared" si="105"/>
        <v>-439372.1540194861</v>
      </c>
      <c r="AD429" s="3">
        <f t="shared" si="106"/>
        <v>6498749.1876503155</v>
      </c>
      <c r="AE429" s="3">
        <f t="shared" si="107"/>
        <v>6498879.4802385019</v>
      </c>
      <c r="AF429" s="3">
        <f t="shared" si="111"/>
        <v>-464372.1540194861</v>
      </c>
      <c r="AG429" s="3">
        <f t="shared" si="108"/>
        <v>6515449.0249017952</v>
      </c>
      <c r="AH429" s="3">
        <f t="shared" si="109"/>
        <v>2.8763579495157426E-2</v>
      </c>
      <c r="AI429" s="3">
        <f t="shared" si="110"/>
        <v>-1.9941367901223257E-3</v>
      </c>
    </row>
    <row r="430" spans="19:35" x14ac:dyDescent="0.3">
      <c r="S430" s="6">
        <v>413</v>
      </c>
      <c r="T430" s="4">
        <f t="shared" si="96"/>
        <v>206.5</v>
      </c>
      <c r="U430" s="3">
        <f t="shared" si="97"/>
        <v>-6533829.1560449647</v>
      </c>
      <c r="V430" s="3">
        <f t="shared" si="98"/>
        <v>451818.10499222617</v>
      </c>
      <c r="W430" s="3">
        <f t="shared" si="99"/>
        <v>-29940.774189286007</v>
      </c>
      <c r="X430" s="3">
        <f t="shared" si="100"/>
        <v>2445.3339211462958</v>
      </c>
      <c r="Y430" s="3">
        <f t="shared" si="101"/>
        <v>6538855.8063016338</v>
      </c>
      <c r="Z430" s="3">
        <f t="shared" si="102"/>
        <v>-443095.23263556365</v>
      </c>
      <c r="AA430" s="3">
        <f t="shared" si="103"/>
        <v>6553851.4356665853</v>
      </c>
      <c r="AB430" s="3">
        <f t="shared" si="104"/>
        <v>6498855.8063016338</v>
      </c>
      <c r="AC430" s="3">
        <f t="shared" si="105"/>
        <v>-440595.23263556365</v>
      </c>
      <c r="AD430" s="3">
        <f t="shared" si="106"/>
        <v>6513773.9406677028</v>
      </c>
      <c r="AE430" s="3">
        <f t="shared" si="107"/>
        <v>6513855.8063016338</v>
      </c>
      <c r="AF430" s="3">
        <f t="shared" si="111"/>
        <v>-465595.23263556365</v>
      </c>
      <c r="AG430" s="3">
        <f t="shared" si="108"/>
        <v>6530474.438043722</v>
      </c>
      <c r="AH430" s="3">
        <f t="shared" si="109"/>
        <v>2.8631470249253811E-2</v>
      </c>
      <c r="AI430" s="3">
        <f t="shared" si="110"/>
        <v>-1.9857886855691458E-3</v>
      </c>
    </row>
    <row r="431" spans="19:35" x14ac:dyDescent="0.3">
      <c r="S431" s="6">
        <v>414</v>
      </c>
      <c r="T431" s="4">
        <f t="shared" si="96"/>
        <v>207</v>
      </c>
      <c r="U431" s="3">
        <f t="shared" si="97"/>
        <v>-6548799.5359817399</v>
      </c>
      <c r="V431" s="3">
        <f t="shared" si="98"/>
        <v>453040.7714563522</v>
      </c>
      <c r="W431" s="3">
        <f t="shared" si="99"/>
        <v>-29934.84747494441</v>
      </c>
      <c r="X431" s="3">
        <f t="shared" si="100"/>
        <v>2444.922862888383</v>
      </c>
      <c r="Y431" s="3">
        <f t="shared" si="101"/>
        <v>6553829.1560449647</v>
      </c>
      <c r="Z431" s="3">
        <f t="shared" si="102"/>
        <v>-444318.10499222617</v>
      </c>
      <c r="AA431" s="3">
        <f t="shared" si="103"/>
        <v>6568873.2051280253</v>
      </c>
      <c r="AB431" s="3">
        <f t="shared" si="104"/>
        <v>6513829.1560449647</v>
      </c>
      <c r="AC431" s="3">
        <f t="shared" si="105"/>
        <v>-441818.10499222617</v>
      </c>
      <c r="AD431" s="3">
        <f t="shared" si="106"/>
        <v>6528795.7168256054</v>
      </c>
      <c r="AE431" s="3">
        <f t="shared" si="107"/>
        <v>6528829.1560449647</v>
      </c>
      <c r="AF431" s="3">
        <f t="shared" si="111"/>
        <v>-466818.10499222617</v>
      </c>
      <c r="AG431" s="3">
        <f t="shared" si="108"/>
        <v>6545496.871282679</v>
      </c>
      <c r="AH431" s="3">
        <f t="shared" si="109"/>
        <v>2.8500294957868755E-2</v>
      </c>
      <c r="AI431" s="3">
        <f t="shared" si="110"/>
        <v>-1.9774942057070059E-3</v>
      </c>
    </row>
    <row r="432" spans="19:35" x14ac:dyDescent="0.3">
      <c r="S432" s="6">
        <v>415</v>
      </c>
      <c r="T432" s="4">
        <f t="shared" si="96"/>
        <v>207.5</v>
      </c>
      <c r="U432" s="3">
        <f t="shared" si="97"/>
        <v>-6563766.9525941378</v>
      </c>
      <c r="V432" s="3">
        <f t="shared" si="98"/>
        <v>454263.23239342286</v>
      </c>
      <c r="W432" s="3">
        <f t="shared" si="99"/>
        <v>-29928.933663740652</v>
      </c>
      <c r="X432" s="3">
        <f t="shared" si="100"/>
        <v>2444.5125328406989</v>
      </c>
      <c r="Y432" s="3">
        <f t="shared" si="101"/>
        <v>6568799.5359817399</v>
      </c>
      <c r="Z432" s="3">
        <f t="shared" si="102"/>
        <v>-445540.7714563522</v>
      </c>
      <c r="AA432" s="3">
        <f t="shared" si="103"/>
        <v>6583892.0041981125</v>
      </c>
      <c r="AB432" s="3">
        <f t="shared" si="104"/>
        <v>6528799.5359817399</v>
      </c>
      <c r="AC432" s="3">
        <f t="shared" si="105"/>
        <v>-443040.7714563522</v>
      </c>
      <c r="AD432" s="3">
        <f t="shared" si="106"/>
        <v>6543814.522601326</v>
      </c>
      <c r="AE432" s="3">
        <f t="shared" si="107"/>
        <v>6543799.5359817399</v>
      </c>
      <c r="AF432" s="3">
        <f t="shared" si="111"/>
        <v>-468040.7714563522</v>
      </c>
      <c r="AG432" s="3">
        <f t="shared" si="108"/>
        <v>6560516.3311175667</v>
      </c>
      <c r="AH432" s="3">
        <f t="shared" si="109"/>
        <v>2.8370044729996585E-2</v>
      </c>
      <c r="AI432" s="3">
        <f t="shared" si="110"/>
        <v>-1.9692528893193919E-3</v>
      </c>
    </row>
    <row r="433" spans="19:35" x14ac:dyDescent="0.3">
      <c r="S433" s="6">
        <v>416</v>
      </c>
      <c r="T433" s="4">
        <f t="shared" si="96"/>
        <v>208</v>
      </c>
      <c r="U433" s="3">
        <f t="shared" si="97"/>
        <v>-6578731.4123334968</v>
      </c>
      <c r="V433" s="3">
        <f t="shared" si="98"/>
        <v>455485.48816752998</v>
      </c>
      <c r="W433" s="3">
        <f t="shared" si="99"/>
        <v>-29923.032694436813</v>
      </c>
      <c r="X433" s="3">
        <f t="shared" si="100"/>
        <v>2444.1029282397203</v>
      </c>
      <c r="Y433" s="3">
        <f t="shared" si="101"/>
        <v>6583766.9525941378</v>
      </c>
      <c r="Z433" s="3">
        <f t="shared" si="102"/>
        <v>-446763.23239342286</v>
      </c>
      <c r="AA433" s="3">
        <f t="shared" si="103"/>
        <v>6598907.8393238168</v>
      </c>
      <c r="AB433" s="3">
        <f t="shared" si="104"/>
        <v>6543766.9525941378</v>
      </c>
      <c r="AC433" s="3">
        <f t="shared" si="105"/>
        <v>-444263.23239342286</v>
      </c>
      <c r="AD433" s="3">
        <f t="shared" si="106"/>
        <v>6558830.364441501</v>
      </c>
      <c r="AE433" s="3">
        <f t="shared" si="107"/>
        <v>6558766.9525941378</v>
      </c>
      <c r="AF433" s="3">
        <f t="shared" si="111"/>
        <v>-469263.23239342286</v>
      </c>
      <c r="AG433" s="3">
        <f t="shared" si="108"/>
        <v>6575532.8240164164</v>
      </c>
      <c r="AH433" s="3">
        <f t="shared" si="109"/>
        <v>2.8240710780904697E-2</v>
      </c>
      <c r="AI433" s="3">
        <f t="shared" si="110"/>
        <v>-1.9610642801318225E-3</v>
      </c>
    </row>
    <row r="434" spans="19:35" x14ac:dyDescent="0.3">
      <c r="S434" s="6">
        <v>417</v>
      </c>
      <c r="T434" s="4">
        <f t="shared" si="96"/>
        <v>208.5</v>
      </c>
      <c r="U434" s="3">
        <f t="shared" si="97"/>
        <v>-6593692.9216205375</v>
      </c>
      <c r="V434" s="3">
        <f t="shared" si="98"/>
        <v>456707.53914138378</v>
      </c>
      <c r="W434" s="3">
        <f t="shared" si="99"/>
        <v>-29917.144506238994</v>
      </c>
      <c r="X434" s="3">
        <f t="shared" si="100"/>
        <v>2443.694046337313</v>
      </c>
      <c r="Y434" s="3">
        <f t="shared" si="101"/>
        <v>6598731.4123334968</v>
      </c>
      <c r="Z434" s="3">
        <f t="shared" si="102"/>
        <v>-447985.48816752998</v>
      </c>
      <c r="AA434" s="3">
        <f t="shared" si="103"/>
        <v>6613920.7169216601</v>
      </c>
      <c r="AB434" s="3">
        <f t="shared" si="104"/>
        <v>6558731.4123334968</v>
      </c>
      <c r="AC434" s="3">
        <f t="shared" si="105"/>
        <v>-445485.48816752998</v>
      </c>
      <c r="AD434" s="3">
        <f t="shared" si="106"/>
        <v>6573843.2487623254</v>
      </c>
      <c r="AE434" s="3">
        <f t="shared" si="107"/>
        <v>6573731.4123334968</v>
      </c>
      <c r="AF434" s="3">
        <f t="shared" si="111"/>
        <v>-470485.48816752998</v>
      </c>
      <c r="AG434" s="3">
        <f t="shared" si="108"/>
        <v>6590546.3564166203</v>
      </c>
      <c r="AH434" s="3">
        <f t="shared" si="109"/>
        <v>2.8112284430606128E-2</v>
      </c>
      <c r="AI434" s="3">
        <f t="shared" si="110"/>
        <v>-1.9529279267488113E-3</v>
      </c>
    </row>
    <row r="435" spans="19:35" x14ac:dyDescent="0.3">
      <c r="S435" s="6">
        <v>418</v>
      </c>
      <c r="T435" s="4">
        <f t="shared" si="96"/>
        <v>209</v>
      </c>
      <c r="U435" s="3">
        <f t="shared" si="97"/>
        <v>-6608651.4868455855</v>
      </c>
      <c r="V435" s="3">
        <f t="shared" si="98"/>
        <v>457929.38567632041</v>
      </c>
      <c r="W435" s="3">
        <f t="shared" si="99"/>
        <v>-29911.269038792998</v>
      </c>
      <c r="X435" s="3">
        <f t="shared" si="100"/>
        <v>2443.2858844006223</v>
      </c>
      <c r="Y435" s="3">
        <f t="shared" si="101"/>
        <v>6613692.9216205375</v>
      </c>
      <c r="Z435" s="3">
        <f t="shared" si="102"/>
        <v>-449207.53914138378</v>
      </c>
      <c r="AA435" s="3">
        <f t="shared" si="103"/>
        <v>6628930.6433779392</v>
      </c>
      <c r="AB435" s="3">
        <f t="shared" si="104"/>
        <v>6573692.9216205375</v>
      </c>
      <c r="AC435" s="3">
        <f t="shared" si="105"/>
        <v>-446707.53914138378</v>
      </c>
      <c r="AD435" s="3">
        <f t="shared" si="106"/>
        <v>6588853.1819497775</v>
      </c>
      <c r="AE435" s="3">
        <f t="shared" si="107"/>
        <v>6588692.9216205375</v>
      </c>
      <c r="AF435" s="3">
        <f t="shared" si="111"/>
        <v>-471707.53914138378</v>
      </c>
      <c r="AG435" s="3">
        <f t="shared" si="108"/>
        <v>6605556.9347251412</v>
      </c>
      <c r="AH435" s="3">
        <f t="shared" si="109"/>
        <v>2.7984757102358433E-2</v>
      </c>
      <c r="AI435" s="3">
        <f t="shared" si="110"/>
        <v>-1.9448433825918071E-3</v>
      </c>
    </row>
    <row r="436" spans="19:35" x14ac:dyDescent="0.3">
      <c r="S436" s="6">
        <v>419</v>
      </c>
      <c r="T436" s="4">
        <f t="shared" si="96"/>
        <v>209.5</v>
      </c>
      <c r="U436" s="3">
        <f t="shared" si="97"/>
        <v>-6623607.1143687926</v>
      </c>
      <c r="V436" s="3">
        <f t="shared" si="98"/>
        <v>459151.02813230985</v>
      </c>
      <c r="W436" s="3">
        <f t="shared" si="99"/>
        <v>-29905.406232180052</v>
      </c>
      <c r="X436" s="3">
        <f t="shared" si="100"/>
        <v>2442.8784397119693</v>
      </c>
      <c r="Y436" s="3">
        <f t="shared" si="101"/>
        <v>6628651.4868455855</v>
      </c>
      <c r="Z436" s="3">
        <f t="shared" si="102"/>
        <v>-450429.38567632041</v>
      </c>
      <c r="AA436" s="3">
        <f t="shared" si="103"/>
        <v>6643937.6250489401</v>
      </c>
      <c r="AB436" s="3">
        <f t="shared" si="104"/>
        <v>6588651.4868455855</v>
      </c>
      <c r="AC436" s="3">
        <f t="shared" si="105"/>
        <v>-447929.38567632041</v>
      </c>
      <c r="AD436" s="3">
        <f t="shared" si="106"/>
        <v>6603860.1703598266</v>
      </c>
      <c r="AE436" s="3">
        <f t="shared" si="107"/>
        <v>6603651.4868455855</v>
      </c>
      <c r="AF436" s="3">
        <f t="shared" si="111"/>
        <v>-472929.38567632041</v>
      </c>
      <c r="AG436" s="3">
        <f t="shared" si="108"/>
        <v>6620564.5653187381</v>
      </c>
      <c r="AH436" s="3">
        <f t="shared" si="109"/>
        <v>2.7858120321185897E-2</v>
      </c>
      <c r="AI436" s="3">
        <f t="shared" si="110"/>
        <v>-1.9368102058379168E-3</v>
      </c>
    </row>
    <row r="437" spans="19:35" x14ac:dyDescent="0.3">
      <c r="S437" s="6">
        <v>420</v>
      </c>
      <c r="T437" s="4">
        <f t="shared" si="96"/>
        <v>210</v>
      </c>
      <c r="U437" s="3">
        <f t="shared" si="97"/>
        <v>-6638559.8105203528</v>
      </c>
      <c r="V437" s="3">
        <f t="shared" si="98"/>
        <v>460372.46686796332</v>
      </c>
      <c r="W437" s="3">
        <f t="shared" si="99"/>
        <v>-29899.556026912604</v>
      </c>
      <c r="X437" s="3">
        <f t="shared" si="100"/>
        <v>2442.4717095687433</v>
      </c>
      <c r="Y437" s="3">
        <f t="shared" si="101"/>
        <v>6643607.1143687926</v>
      </c>
      <c r="Z437" s="3">
        <f t="shared" si="102"/>
        <v>-451651.02813230985</v>
      </c>
      <c r="AA437" s="3">
        <f t="shared" si="103"/>
        <v>6658941.6682611508</v>
      </c>
      <c r="AB437" s="3">
        <f t="shared" si="104"/>
        <v>6603607.1143687926</v>
      </c>
      <c r="AC437" s="3">
        <f t="shared" si="105"/>
        <v>-449151.02813230985</v>
      </c>
      <c r="AD437" s="3">
        <f t="shared" si="106"/>
        <v>6618864.2203186527</v>
      </c>
      <c r="AE437" s="3">
        <f t="shared" si="107"/>
        <v>6618607.1143687926</v>
      </c>
      <c r="AF437" s="3">
        <f t="shared" si="111"/>
        <v>-474151.02813230985</v>
      </c>
      <c r="AG437" s="3">
        <f t="shared" si="108"/>
        <v>6635569.2545441892</v>
      </c>
      <c r="AH437" s="3">
        <f t="shared" si="109"/>
        <v>2.773236571242902E-2</v>
      </c>
      <c r="AI437" s="3">
        <f t="shared" si="110"/>
        <v>-1.9288279593597038E-3</v>
      </c>
    </row>
    <row r="438" spans="19:35" x14ac:dyDescent="0.3">
      <c r="S438" s="6">
        <v>421</v>
      </c>
      <c r="T438" s="4">
        <f t="shared" si="96"/>
        <v>210.5</v>
      </c>
      <c r="U438" s="3">
        <f t="shared" si="97"/>
        <v>-6653509.5816007182</v>
      </c>
      <c r="V438" s="3">
        <f t="shared" si="98"/>
        <v>461593.7022405407</v>
      </c>
      <c r="W438" s="3">
        <f t="shared" si="99"/>
        <v>-29893.718363930137</v>
      </c>
      <c r="X438" s="3">
        <f t="shared" si="100"/>
        <v>2442.0656912832983</v>
      </c>
      <c r="Y438" s="3">
        <f t="shared" si="101"/>
        <v>6658559.8105203528</v>
      </c>
      <c r="Z438" s="3">
        <f t="shared" si="102"/>
        <v>-452872.46686796332</v>
      </c>
      <c r="AA438" s="3">
        <f t="shared" si="103"/>
        <v>6673942.7793114856</v>
      </c>
      <c r="AB438" s="3">
        <f t="shared" si="104"/>
        <v>6618559.8105203528</v>
      </c>
      <c r="AC438" s="3">
        <f t="shared" si="105"/>
        <v>-450372.46686796332</v>
      </c>
      <c r="AD438" s="3">
        <f t="shared" si="106"/>
        <v>6633865.3381228615</v>
      </c>
      <c r="AE438" s="3">
        <f t="shared" si="107"/>
        <v>6633559.8105203528</v>
      </c>
      <c r="AF438" s="3">
        <f t="shared" si="111"/>
        <v>-475372.46686796332</v>
      </c>
      <c r="AG438" s="3">
        <f t="shared" si="108"/>
        <v>6650571.0087184962</v>
      </c>
      <c r="AH438" s="3">
        <f t="shared" si="109"/>
        <v>2.7607485000315936E-2</v>
      </c>
      <c r="AI438" s="3">
        <f t="shared" si="110"/>
        <v>-1.9208962106657171E-3</v>
      </c>
    </row>
    <row r="439" spans="19:35" x14ac:dyDescent="0.3">
      <c r="S439" s="6">
        <v>422</v>
      </c>
      <c r="T439" s="4">
        <f t="shared" si="96"/>
        <v>211</v>
      </c>
      <c r="U439" s="3">
        <f t="shared" si="97"/>
        <v>-6668456.4338808116</v>
      </c>
      <c r="V439" s="3">
        <f t="shared" si="98"/>
        <v>462814.73460595834</v>
      </c>
      <c r="W439" s="3">
        <f t="shared" si="99"/>
        <v>-29887.893184595068</v>
      </c>
      <c r="X439" s="3">
        <f t="shared" si="100"/>
        <v>2441.660382182848</v>
      </c>
      <c r="Y439" s="3">
        <f t="shared" si="101"/>
        <v>6673509.5816007182</v>
      </c>
      <c r="Z439" s="3">
        <f t="shared" si="102"/>
        <v>-454093.7022405407</v>
      </c>
      <c r="AA439" s="3">
        <f t="shared" si="103"/>
        <v>6688940.964467478</v>
      </c>
      <c r="AB439" s="3">
        <f t="shared" si="104"/>
        <v>6633509.5816007182</v>
      </c>
      <c r="AC439" s="3">
        <f t="shared" si="105"/>
        <v>-451593.7022405407</v>
      </c>
      <c r="AD439" s="3">
        <f t="shared" si="106"/>
        <v>6648863.5300396904</v>
      </c>
      <c r="AE439" s="3">
        <f t="shared" si="107"/>
        <v>6648509.5816007182</v>
      </c>
      <c r="AF439" s="3">
        <f t="shared" si="111"/>
        <v>-476593.7022405407</v>
      </c>
      <c r="AG439" s="3">
        <f t="shared" si="108"/>
        <v>6665569.8341291044</v>
      </c>
      <c r="AH439" s="3">
        <f t="shared" si="109"/>
        <v>2.7483470006558527E-2</v>
      </c>
      <c r="AI439" s="3">
        <f t="shared" si="110"/>
        <v>-1.9130145318419509E-3</v>
      </c>
    </row>
    <row r="440" spans="19:35" x14ac:dyDescent="0.3">
      <c r="S440" s="6">
        <v>423</v>
      </c>
      <c r="T440" s="4">
        <f t="shared" si="96"/>
        <v>211.5</v>
      </c>
      <c r="U440" s="3">
        <f t="shared" si="97"/>
        <v>-6683400.3736022413</v>
      </c>
      <c r="V440" s="3">
        <f t="shared" si="98"/>
        <v>464035.5643187961</v>
      </c>
      <c r="W440" s="3">
        <f t="shared" si="99"/>
        <v>-29882.080430688682</v>
      </c>
      <c r="X440" s="3">
        <f t="shared" si="100"/>
        <v>2441.2557796093633</v>
      </c>
      <c r="Y440" s="3">
        <f t="shared" si="101"/>
        <v>6688456.4338808116</v>
      </c>
      <c r="Z440" s="3">
        <f t="shared" si="102"/>
        <v>-455314.73460595834</v>
      </c>
      <c r="AA440" s="3">
        <f t="shared" si="103"/>
        <v>6703936.2299675047</v>
      </c>
      <c r="AB440" s="3">
        <f t="shared" si="104"/>
        <v>6648456.4338808116</v>
      </c>
      <c r="AC440" s="3">
        <f t="shared" si="105"/>
        <v>-452814.73460595834</v>
      </c>
      <c r="AD440" s="3">
        <f t="shared" si="106"/>
        <v>6663858.8023072202</v>
      </c>
      <c r="AE440" s="3">
        <f t="shared" si="107"/>
        <v>6663456.4338808116</v>
      </c>
      <c r="AF440" s="3">
        <f t="shared" si="111"/>
        <v>-477814.73460595834</v>
      </c>
      <c r="AG440" s="3">
        <f t="shared" si="108"/>
        <v>6680565.7370341131</v>
      </c>
      <c r="AH440" s="3">
        <f t="shared" si="109"/>
        <v>2.7360312648972013E-2</v>
      </c>
      <c r="AI440" s="3">
        <f t="shared" si="110"/>
        <v>-1.9051824994941713E-3</v>
      </c>
    </row>
    <row r="441" spans="19:35" x14ac:dyDescent="0.3">
      <c r="S441" s="6">
        <v>424</v>
      </c>
      <c r="T441" s="4">
        <f t="shared" si="96"/>
        <v>212</v>
      </c>
      <c r="U441" s="3">
        <f t="shared" si="97"/>
        <v>-6698341.4069775073</v>
      </c>
      <c r="V441" s="3">
        <f t="shared" si="98"/>
        <v>465256.1917323051</v>
      </c>
      <c r="W441" s="3">
        <f t="shared" si="99"/>
        <v>-29876.2800444071</v>
      </c>
      <c r="X441" s="3">
        <f t="shared" si="100"/>
        <v>2440.8518809194707</v>
      </c>
      <c r="Y441" s="3">
        <f t="shared" si="101"/>
        <v>6703400.3736022413</v>
      </c>
      <c r="Z441" s="3">
        <f t="shared" si="102"/>
        <v>-456535.5643187961</v>
      </c>
      <c r="AA441" s="3">
        <f t="shared" si="103"/>
        <v>6718928.5820209868</v>
      </c>
      <c r="AB441" s="3">
        <f t="shared" si="104"/>
        <v>6663400.3736022413</v>
      </c>
      <c r="AC441" s="3">
        <f t="shared" si="105"/>
        <v>-454035.5643187961</v>
      </c>
      <c r="AD441" s="3">
        <f t="shared" si="106"/>
        <v>6678851.1611345839</v>
      </c>
      <c r="AE441" s="3">
        <f t="shared" si="107"/>
        <v>6678400.3736022413</v>
      </c>
      <c r="AF441" s="3">
        <f t="shared" si="111"/>
        <v>-479035.5643187961</v>
      </c>
      <c r="AG441" s="3">
        <f t="shared" si="108"/>
        <v>6695558.7236624835</v>
      </c>
      <c r="AH441" s="3">
        <f t="shared" si="109"/>
        <v>2.7238004940116817E-2</v>
      </c>
      <c r="AI441" s="3">
        <f t="shared" si="110"/>
        <v>-1.8973996946910427E-3</v>
      </c>
    </row>
    <row r="442" spans="19:35" x14ac:dyDescent="0.3">
      <c r="S442" s="6">
        <v>425</v>
      </c>
      <c r="T442" s="4">
        <f t="shared" si="96"/>
        <v>212.5</v>
      </c>
      <c r="U442" s="3">
        <f t="shared" si="97"/>
        <v>-6713279.5401902096</v>
      </c>
      <c r="V442" s="3">
        <f t="shared" si="98"/>
        <v>466476.61719841487</v>
      </c>
      <c r="W442" s="3">
        <f t="shared" si="99"/>
        <v>-29870.491968357324</v>
      </c>
      <c r="X442" s="3">
        <f t="shared" si="100"/>
        <v>2440.4486834843487</v>
      </c>
      <c r="Y442" s="3">
        <f t="shared" si="101"/>
        <v>6718341.4069775073</v>
      </c>
      <c r="Z442" s="3">
        <f t="shared" si="102"/>
        <v>-457756.1917323051</v>
      </c>
      <c r="AA442" s="3">
        <f t="shared" si="103"/>
        <v>6733918.0268085962</v>
      </c>
      <c r="AB442" s="3">
        <f t="shared" si="104"/>
        <v>6678341.4069775073</v>
      </c>
      <c r="AC442" s="3">
        <f t="shared" si="105"/>
        <v>-455256.1917323051</v>
      </c>
      <c r="AD442" s="3">
        <f t="shared" si="106"/>
        <v>6693840.6127021667</v>
      </c>
      <c r="AE442" s="3">
        <f t="shared" si="107"/>
        <v>6693341.4069775073</v>
      </c>
      <c r="AF442" s="3">
        <f t="shared" si="111"/>
        <v>-480256.1917323051</v>
      </c>
      <c r="AG442" s="3">
        <f t="shared" si="108"/>
        <v>6710548.8002142459</v>
      </c>
      <c r="AH442" s="3">
        <f t="shared" si="109"/>
        <v>2.7116538985962987E-2</v>
      </c>
      <c r="AI442" s="3">
        <f t="shared" si="110"/>
        <v>-1.8896657029080937E-3</v>
      </c>
    </row>
    <row r="443" spans="19:35" x14ac:dyDescent="0.3">
      <c r="S443" s="6">
        <v>426</v>
      </c>
      <c r="T443" s="4">
        <f t="shared" si="96"/>
        <v>213</v>
      </c>
      <c r="U443" s="3">
        <f t="shared" si="97"/>
        <v>-6728214.7793952534</v>
      </c>
      <c r="V443" s="3">
        <f t="shared" si="98"/>
        <v>467696.84106774064</v>
      </c>
      <c r="W443" s="3">
        <f t="shared" si="99"/>
        <v>-29864.716145553313</v>
      </c>
      <c r="X443" s="3">
        <f t="shared" si="100"/>
        <v>2440.0461846896292</v>
      </c>
      <c r="Y443" s="3">
        <f t="shared" si="101"/>
        <v>6733279.5401902096</v>
      </c>
      <c r="Z443" s="3">
        <f t="shared" si="102"/>
        <v>-458976.61719841487</v>
      </c>
      <c r="AA443" s="3">
        <f t="shared" si="103"/>
        <v>6748904.5704824552</v>
      </c>
      <c r="AB443" s="3">
        <f t="shared" si="104"/>
        <v>6693279.5401902096</v>
      </c>
      <c r="AC443" s="3">
        <f t="shared" si="105"/>
        <v>-456476.61719841487</v>
      </c>
      <c r="AD443" s="3">
        <f t="shared" si="106"/>
        <v>6708827.1631618124</v>
      </c>
      <c r="AE443" s="3">
        <f t="shared" si="107"/>
        <v>6708279.5401902096</v>
      </c>
      <c r="AF443" s="3">
        <f t="shared" si="111"/>
        <v>-481476.61719841487</v>
      </c>
      <c r="AG443" s="3">
        <f t="shared" si="108"/>
        <v>6725535.972860706</v>
      </c>
      <c r="AH443" s="3">
        <f t="shared" si="109"/>
        <v>2.6995906984576649E-2</v>
      </c>
      <c r="AI443" s="3">
        <f t="shared" si="110"/>
        <v>-1.8819801139724915E-3</v>
      </c>
    </row>
    <row r="444" spans="19:35" x14ac:dyDescent="0.3">
      <c r="S444" s="6">
        <v>427</v>
      </c>
      <c r="T444" s="4">
        <f t="shared" si="96"/>
        <v>213.5</v>
      </c>
      <c r="U444" s="3">
        <f t="shared" si="97"/>
        <v>-6743147.1307190526</v>
      </c>
      <c r="V444" s="3">
        <f t="shared" si="98"/>
        <v>468916.86368959042</v>
      </c>
      <c r="W444" s="3">
        <f t="shared" si="99"/>
        <v>-29858.952519412105</v>
      </c>
      <c r="X444" s="3">
        <f t="shared" si="100"/>
        <v>2439.6443819352962</v>
      </c>
      <c r="Y444" s="3">
        <f t="shared" si="101"/>
        <v>6748214.7793952534</v>
      </c>
      <c r="Z444" s="3">
        <f t="shared" si="102"/>
        <v>-460196.84106774064</v>
      </c>
      <c r="AA444" s="3">
        <f t="shared" si="103"/>
        <v>6763888.219166344</v>
      </c>
      <c r="AB444" s="3">
        <f t="shared" si="104"/>
        <v>6708214.7793952534</v>
      </c>
      <c r="AC444" s="3">
        <f t="shared" si="105"/>
        <v>-457696.84106774064</v>
      </c>
      <c r="AD444" s="3">
        <f t="shared" si="106"/>
        <v>6723810.8186370246</v>
      </c>
      <c r="AE444" s="3">
        <f t="shared" si="107"/>
        <v>6723214.7793952534</v>
      </c>
      <c r="AF444" s="3">
        <f t="shared" si="111"/>
        <v>-482696.84106774064</v>
      </c>
      <c r="AG444" s="3">
        <f t="shared" si="108"/>
        <v>6740520.2477446459</v>
      </c>
      <c r="AH444" s="3">
        <f t="shared" si="109"/>
        <v>2.6876101224828378E-2</v>
      </c>
      <c r="AI444" s="3">
        <f t="shared" si="110"/>
        <v>-1.8743425220086448E-3</v>
      </c>
    </row>
    <row r="445" spans="19:35" x14ac:dyDescent="0.3">
      <c r="S445" s="6">
        <v>428</v>
      </c>
      <c r="T445" s="4">
        <f t="shared" si="96"/>
        <v>214</v>
      </c>
      <c r="U445" s="3">
        <f t="shared" si="97"/>
        <v>-6758076.6002597334</v>
      </c>
      <c r="V445" s="3">
        <f t="shared" si="98"/>
        <v>470136.6854119724</v>
      </c>
      <c r="W445" s="3">
        <f t="shared" si="99"/>
        <v>-29853.201033749992</v>
      </c>
      <c r="X445" s="3">
        <f t="shared" si="100"/>
        <v>2439.2432726355864</v>
      </c>
      <c r="Y445" s="3">
        <f t="shared" si="101"/>
        <v>6763147.1307190526</v>
      </c>
      <c r="Z445" s="3">
        <f t="shared" si="102"/>
        <v>-461416.86368959042</v>
      </c>
      <c r="AA445" s="3">
        <f t="shared" si="103"/>
        <v>6778868.9789558919</v>
      </c>
      <c r="AB445" s="3">
        <f t="shared" si="104"/>
        <v>6723147.1307190526</v>
      </c>
      <c r="AC445" s="3">
        <f t="shared" si="105"/>
        <v>-458916.86368959042</v>
      </c>
      <c r="AD445" s="3">
        <f t="shared" si="106"/>
        <v>6738791.5852231635</v>
      </c>
      <c r="AE445" s="3">
        <f t="shared" si="107"/>
        <v>6738147.1307190526</v>
      </c>
      <c r="AF445" s="3">
        <f t="shared" si="111"/>
        <v>-483916.86368959042</v>
      </c>
      <c r="AG445" s="3">
        <f t="shared" si="108"/>
        <v>6755501.630980528</v>
      </c>
      <c r="AH445" s="3">
        <f t="shared" si="109"/>
        <v>2.6757114085122151E-2</v>
      </c>
      <c r="AI445" s="3">
        <f t="shared" si="110"/>
        <v>-1.8667525253845477E-3</v>
      </c>
    </row>
    <row r="446" spans="19:35" x14ac:dyDescent="0.3">
      <c r="S446" s="6">
        <v>429</v>
      </c>
      <c r="T446" s="4">
        <f t="shared" si="96"/>
        <v>214.5</v>
      </c>
      <c r="U446" s="3">
        <f t="shared" si="97"/>
        <v>-6773003.1940873303</v>
      </c>
      <c r="V446" s="3">
        <f t="shared" si="98"/>
        <v>471356.30658160208</v>
      </c>
      <c r="W446" s="3">
        <f t="shared" si="99"/>
        <v>-29847.461632778733</v>
      </c>
      <c r="X446" s="3">
        <f t="shared" si="100"/>
        <v>2438.8428542188913</v>
      </c>
      <c r="Y446" s="3">
        <f t="shared" si="101"/>
        <v>6778076.6002597334</v>
      </c>
      <c r="Z446" s="3">
        <f t="shared" si="102"/>
        <v>-462636.6854119724</v>
      </c>
      <c r="AA446" s="3">
        <f t="shared" si="103"/>
        <v>6793846.8559187818</v>
      </c>
      <c r="AB446" s="3">
        <f t="shared" si="104"/>
        <v>6738076.6002597334</v>
      </c>
      <c r="AC446" s="3">
        <f t="shared" si="105"/>
        <v>-460136.6854119724</v>
      </c>
      <c r="AD446" s="3">
        <f t="shared" si="106"/>
        <v>6753769.4689876465</v>
      </c>
      <c r="AE446" s="3">
        <f t="shared" si="107"/>
        <v>6753076.6002597334</v>
      </c>
      <c r="AF446" s="3">
        <f t="shared" si="111"/>
        <v>-485136.6854119724</v>
      </c>
      <c r="AG446" s="3">
        <f t="shared" si="108"/>
        <v>6770480.1286546942</v>
      </c>
      <c r="AH446" s="3">
        <f t="shared" si="109"/>
        <v>2.6638938032145468E-2</v>
      </c>
      <c r="AI446" s="3">
        <f t="shared" si="110"/>
        <v>-1.859209726658928E-3</v>
      </c>
    </row>
    <row r="447" spans="19:35" x14ac:dyDescent="0.3">
      <c r="S447" s="6">
        <v>430</v>
      </c>
      <c r="T447" s="4">
        <f t="shared" si="96"/>
        <v>215</v>
      </c>
      <c r="U447" s="3">
        <f t="shared" si="97"/>
        <v>-6787926.9182439856</v>
      </c>
      <c r="V447" s="3">
        <f t="shared" si="98"/>
        <v>472575.7275439091</v>
      </c>
      <c r="W447" s="3">
        <f t="shared" si="99"/>
        <v>-29841.734261101821</v>
      </c>
      <c r="X447" s="3">
        <f t="shared" si="100"/>
        <v>2438.4431241276598</v>
      </c>
      <c r="Y447" s="3">
        <f t="shared" si="101"/>
        <v>6793003.1940873303</v>
      </c>
      <c r="Z447" s="3">
        <f t="shared" si="102"/>
        <v>-463856.30658160208</v>
      </c>
      <c r="AA447" s="3">
        <f t="shared" si="103"/>
        <v>6808821.8560949434</v>
      </c>
      <c r="AB447" s="3">
        <f t="shared" si="104"/>
        <v>6753003.1940873303</v>
      </c>
      <c r="AC447" s="3">
        <f t="shared" si="105"/>
        <v>-461356.30658160208</v>
      </c>
      <c r="AD447" s="3">
        <f t="shared" si="106"/>
        <v>6768744.4759701416</v>
      </c>
      <c r="AE447" s="3">
        <f t="shared" si="107"/>
        <v>6768003.1940873303</v>
      </c>
      <c r="AF447" s="3">
        <f t="shared" si="111"/>
        <v>-486356.30658160208</v>
      </c>
      <c r="AG447" s="3">
        <f t="shared" si="108"/>
        <v>6785455.7468255591</v>
      </c>
      <c r="AH447" s="3">
        <f t="shared" si="109"/>
        <v>2.652156561963908E-2</v>
      </c>
      <c r="AI447" s="3">
        <f t="shared" si="110"/>
        <v>-1.8517137325290973E-3</v>
      </c>
    </row>
    <row r="448" spans="19:35" x14ac:dyDescent="0.3">
      <c r="S448" s="6">
        <v>431</v>
      </c>
      <c r="T448" s="4">
        <f t="shared" si="96"/>
        <v>215.5</v>
      </c>
      <c r="U448" s="3">
        <f t="shared" si="97"/>
        <v>-6802847.7787441444</v>
      </c>
      <c r="V448" s="3">
        <f t="shared" si="98"/>
        <v>473794.94864304451</v>
      </c>
      <c r="W448" s="3">
        <f t="shared" si="99"/>
        <v>-29836.018863710789</v>
      </c>
      <c r="X448" s="3">
        <f t="shared" si="100"/>
        <v>2438.0440798182999</v>
      </c>
      <c r="Y448" s="3">
        <f t="shared" si="101"/>
        <v>6807926.9182439856</v>
      </c>
      <c r="Z448" s="3">
        <f t="shared" si="102"/>
        <v>-465075.7275439091</v>
      </c>
      <c r="AA448" s="3">
        <f t="shared" si="103"/>
        <v>6823793.9854967454</v>
      </c>
      <c r="AB448" s="3">
        <f t="shared" si="104"/>
        <v>6767926.9182439856</v>
      </c>
      <c r="AC448" s="3">
        <f t="shared" si="105"/>
        <v>-462575.7275439091</v>
      </c>
      <c r="AD448" s="3">
        <f t="shared" si="106"/>
        <v>6783716.6121827569</v>
      </c>
      <c r="AE448" s="3">
        <f t="shared" si="107"/>
        <v>6782926.9182439856</v>
      </c>
      <c r="AF448" s="3">
        <f t="shared" si="111"/>
        <v>-487575.7275439091</v>
      </c>
      <c r="AG448" s="3">
        <f t="shared" si="108"/>
        <v>6800428.4915238116</v>
      </c>
      <c r="AH448" s="3">
        <f t="shared" si="109"/>
        <v>2.6404989487188356E-2</v>
      </c>
      <c r="AI448" s="3">
        <f t="shared" si="110"/>
        <v>-1.8442641537796691E-3</v>
      </c>
    </row>
    <row r="449" spans="19:35" x14ac:dyDescent="0.3">
      <c r="S449" s="6">
        <v>432</v>
      </c>
      <c r="T449" s="4">
        <f t="shared" si="96"/>
        <v>216</v>
      </c>
      <c r="U449" s="3">
        <f t="shared" si="97"/>
        <v>-6817765.7815747531</v>
      </c>
      <c r="V449" s="3">
        <f t="shared" si="98"/>
        <v>475013.97022188763</v>
      </c>
      <c r="W449" s="3">
        <f t="shared" si="99"/>
        <v>-29830.315385981557</v>
      </c>
      <c r="X449" s="3">
        <f t="shared" si="100"/>
        <v>2437.6457187610836</v>
      </c>
      <c r="Y449" s="3">
        <f t="shared" si="101"/>
        <v>6822847.7787441444</v>
      </c>
      <c r="Z449" s="3">
        <f t="shared" si="102"/>
        <v>-466294.94864304451</v>
      </c>
      <c r="AA449" s="3">
        <f t="shared" si="103"/>
        <v>6838763.2501091836</v>
      </c>
      <c r="AB449" s="3">
        <f t="shared" si="104"/>
        <v>6782847.7787441444</v>
      </c>
      <c r="AC449" s="3">
        <f t="shared" si="105"/>
        <v>-463794.94864304451</v>
      </c>
      <c r="AD449" s="3">
        <f t="shared" si="106"/>
        <v>6798685.883610242</v>
      </c>
      <c r="AE449" s="3">
        <f t="shared" si="107"/>
        <v>6797847.7787441444</v>
      </c>
      <c r="AF449" s="3">
        <f t="shared" si="111"/>
        <v>-488794.94864304451</v>
      </c>
      <c r="AG449" s="3">
        <f t="shared" si="108"/>
        <v>6815398.3687526034</v>
      </c>
      <c r="AH449" s="3">
        <f t="shared" si="109"/>
        <v>2.6289202359032246E-2</v>
      </c>
      <c r="AI449" s="3">
        <f t="shared" si="110"/>
        <v>-1.8368606052318645E-3</v>
      </c>
    </row>
    <row r="450" spans="19:35" x14ac:dyDescent="0.3">
      <c r="S450" s="6">
        <v>433</v>
      </c>
      <c r="T450" s="4">
        <f t="shared" si="96"/>
        <v>216.5</v>
      </c>
      <c r="U450" s="3">
        <f t="shared" si="97"/>
        <v>-6832680.9326954437</v>
      </c>
      <c r="V450" s="3">
        <f t="shared" si="98"/>
        <v>476232.79262205306</v>
      </c>
      <c r="W450" s="3">
        <f t="shared" si="99"/>
        <v>-29824.623773670828</v>
      </c>
      <c r="X450" s="3">
        <f t="shared" si="100"/>
        <v>2437.248038440051</v>
      </c>
      <c r="Y450" s="3">
        <f t="shared" si="101"/>
        <v>6837765.7815747531</v>
      </c>
      <c r="Z450" s="3">
        <f t="shared" si="102"/>
        <v>-467513.97022188763</v>
      </c>
      <c r="AA450" s="3">
        <f t="shared" si="103"/>
        <v>6853729.6558900848</v>
      </c>
      <c r="AB450" s="3">
        <f t="shared" si="104"/>
        <v>6797765.7815747531</v>
      </c>
      <c r="AC450" s="3">
        <f t="shared" si="105"/>
        <v>-465013.97022188763</v>
      </c>
      <c r="AD450" s="3">
        <f t="shared" si="106"/>
        <v>6813652.2962101717</v>
      </c>
      <c r="AE450" s="3">
        <f t="shared" si="107"/>
        <v>6812765.7815747531</v>
      </c>
      <c r="AF450" s="3">
        <f t="shared" si="111"/>
        <v>-490013.97022188763</v>
      </c>
      <c r="AG450" s="3">
        <f t="shared" si="108"/>
        <v>6830365.3844877491</v>
      </c>
      <c r="AH450" s="3">
        <f t="shared" si="109"/>
        <v>2.6174197042893102E-2</v>
      </c>
      <c r="AI450" s="3">
        <f t="shared" si="110"/>
        <v>-1.8295027056936565E-3</v>
      </c>
    </row>
    <row r="451" spans="19:35" x14ac:dyDescent="0.3">
      <c r="S451" s="6">
        <v>434</v>
      </c>
      <c r="T451" s="4">
        <f t="shared" si="96"/>
        <v>217</v>
      </c>
      <c r="U451" s="3">
        <f t="shared" si="97"/>
        <v>-6847593.2380387299</v>
      </c>
      <c r="V451" s="3">
        <f t="shared" si="98"/>
        <v>477451.41618389741</v>
      </c>
      <c r="W451" s="3">
        <f t="shared" si="99"/>
        <v>-29818.943972912519</v>
      </c>
      <c r="X451" s="3">
        <f t="shared" si="100"/>
        <v>2436.8510363529153</v>
      </c>
      <c r="Y451" s="3">
        <f t="shared" si="101"/>
        <v>6852680.9326954437</v>
      </c>
      <c r="Z451" s="3">
        <f t="shared" si="102"/>
        <v>-468732.79262205306</v>
      </c>
      <c r="AA451" s="3">
        <f t="shared" si="103"/>
        <v>6868693.2087702798</v>
      </c>
      <c r="AB451" s="3">
        <f t="shared" si="104"/>
        <v>6812680.9326954437</v>
      </c>
      <c r="AC451" s="3">
        <f t="shared" si="105"/>
        <v>-466232.79262205306</v>
      </c>
      <c r="AD451" s="3">
        <f t="shared" si="106"/>
        <v>6828615.8559131306</v>
      </c>
      <c r="AE451" s="3">
        <f t="shared" si="107"/>
        <v>6827680.9326954437</v>
      </c>
      <c r="AF451" s="3">
        <f t="shared" si="111"/>
        <v>-491232.79262205306</v>
      </c>
      <c r="AG451" s="3">
        <f t="shared" si="108"/>
        <v>6845329.5446779029</v>
      </c>
      <c r="AH451" s="3">
        <f t="shared" si="109"/>
        <v>2.6059966428824837E-2</v>
      </c>
      <c r="AI451" s="3">
        <f t="shared" si="110"/>
        <v>-1.8221900779105886E-3</v>
      </c>
    </row>
    <row r="452" spans="19:35" x14ac:dyDescent="0.3">
      <c r="S452" s="6">
        <v>435</v>
      </c>
      <c r="T452" s="4">
        <f t="shared" si="96"/>
        <v>217.5</v>
      </c>
      <c r="U452" s="3">
        <f t="shared" si="97"/>
        <v>-6862502.7035101941</v>
      </c>
      <c r="V452" s="3">
        <f t="shared" si="98"/>
        <v>478669.84124652634</v>
      </c>
      <c r="W452" s="3">
        <f t="shared" si="99"/>
        <v>-29813.275930214248</v>
      </c>
      <c r="X452" s="3">
        <f t="shared" si="100"/>
        <v>2436.4547100109698</v>
      </c>
      <c r="Y452" s="3">
        <f t="shared" si="101"/>
        <v>6867593.2380387299</v>
      </c>
      <c r="Z452" s="3">
        <f t="shared" si="102"/>
        <v>-469951.41618389741</v>
      </c>
      <c r="AA452" s="3">
        <f t="shared" si="103"/>
        <v>6883653.9146537967</v>
      </c>
      <c r="AB452" s="3">
        <f t="shared" si="104"/>
        <v>6827593.2380387299</v>
      </c>
      <c r="AC452" s="3">
        <f t="shared" si="105"/>
        <v>-467451.41618389741</v>
      </c>
      <c r="AD452" s="3">
        <f t="shared" si="106"/>
        <v>6843576.5686229095</v>
      </c>
      <c r="AE452" s="3">
        <f t="shared" si="107"/>
        <v>6842593.2380387299</v>
      </c>
      <c r="AF452" s="3">
        <f t="shared" si="111"/>
        <v>-492451.41618389741</v>
      </c>
      <c r="AG452" s="3">
        <f t="shared" si="108"/>
        <v>6860290.8552447595</v>
      </c>
      <c r="AH452" s="3">
        <f t="shared" si="109"/>
        <v>2.5946503488079163E-2</v>
      </c>
      <c r="AI452" s="3">
        <f t="shared" si="110"/>
        <v>-1.8149223485172568E-3</v>
      </c>
    </row>
    <row r="453" spans="19:35" x14ac:dyDescent="0.3">
      <c r="S453" s="6">
        <v>436</v>
      </c>
      <c r="T453" s="4">
        <f t="shared" si="96"/>
        <v>218</v>
      </c>
      <c r="U453" s="3">
        <f t="shared" si="97"/>
        <v>-6877409.334988676</v>
      </c>
      <c r="V453" s="3">
        <f t="shared" si="98"/>
        <v>479888.06814780127</v>
      </c>
      <c r="W453" s="3">
        <f t="shared" si="99"/>
        <v>-29807.619592453848</v>
      </c>
      <c r="X453" s="3">
        <f t="shared" si="100"/>
        <v>2436.0590569389933</v>
      </c>
      <c r="Y453" s="3">
        <f t="shared" si="101"/>
        <v>6882502.7035101941</v>
      </c>
      <c r="Z453" s="3">
        <f t="shared" si="102"/>
        <v>-471169.84124652634</v>
      </c>
      <c r="AA453" s="3">
        <f t="shared" si="103"/>
        <v>6898611.7794180447</v>
      </c>
      <c r="AB453" s="3">
        <f t="shared" si="104"/>
        <v>6842502.7035101941</v>
      </c>
      <c r="AC453" s="3">
        <f t="shared" si="105"/>
        <v>-468669.84124652634</v>
      </c>
      <c r="AD453" s="3">
        <f t="shared" si="106"/>
        <v>6858534.4402166819</v>
      </c>
      <c r="AE453" s="3">
        <f t="shared" si="107"/>
        <v>6857502.7035101941</v>
      </c>
      <c r="AF453" s="3">
        <f t="shared" si="111"/>
        <v>-493669.84124652634</v>
      </c>
      <c r="AG453" s="3">
        <f t="shared" si="108"/>
        <v>6875249.3220832348</v>
      </c>
      <c r="AH453" s="3">
        <f t="shared" si="109"/>
        <v>2.5833801271990572E-2</v>
      </c>
      <c r="AI453" s="3">
        <f t="shared" si="110"/>
        <v>-1.8076991479895185E-3</v>
      </c>
    </row>
    <row r="454" spans="19:35" x14ac:dyDescent="0.3">
      <c r="S454" s="6">
        <v>437</v>
      </c>
      <c r="T454" s="4">
        <f t="shared" si="96"/>
        <v>218.5</v>
      </c>
      <c r="U454" s="3">
        <f t="shared" si="97"/>
        <v>-6892313.138326453</v>
      </c>
      <c r="V454" s="3">
        <f t="shared" si="98"/>
        <v>481106.09722434595</v>
      </c>
      <c r="W454" s="3">
        <f t="shared" si="99"/>
        <v>-29801.974906875919</v>
      </c>
      <c r="X454" s="3">
        <f t="shared" si="100"/>
        <v>2435.6640746751577</v>
      </c>
      <c r="Y454" s="3">
        <f t="shared" si="101"/>
        <v>6897409.334988676</v>
      </c>
      <c r="Z454" s="3">
        <f t="shared" si="102"/>
        <v>-472388.06814780127</v>
      </c>
      <c r="AA454" s="3">
        <f t="shared" si="103"/>
        <v>6913566.808914003</v>
      </c>
      <c r="AB454" s="3">
        <f t="shared" si="104"/>
        <v>6857409.334988676</v>
      </c>
      <c r="AC454" s="3">
        <f t="shared" si="105"/>
        <v>-469888.06814780127</v>
      </c>
      <c r="AD454" s="3">
        <f t="shared" si="106"/>
        <v>6873489.4765451923</v>
      </c>
      <c r="AE454" s="3">
        <f t="shared" si="107"/>
        <v>6872409.334988676</v>
      </c>
      <c r="AF454" s="3">
        <f t="shared" si="111"/>
        <v>-494888.06814780127</v>
      </c>
      <c r="AG454" s="3">
        <f t="shared" si="108"/>
        <v>6890204.9510616558</v>
      </c>
      <c r="AH454" s="3">
        <f t="shared" si="109"/>
        <v>2.5721852910879764E-2</v>
      </c>
      <c r="AI454" s="3">
        <f t="shared" si="110"/>
        <v>-1.800520110597423E-3</v>
      </c>
    </row>
    <row r="455" spans="19:35" x14ac:dyDescent="0.3">
      <c r="S455" s="6">
        <v>438</v>
      </c>
      <c r="T455" s="4">
        <f t="shared" si="96"/>
        <v>219</v>
      </c>
      <c r="U455" s="3">
        <f t="shared" si="97"/>
        <v>-6907214.1193494285</v>
      </c>
      <c r="V455" s="3">
        <f t="shared" si="98"/>
        <v>482323.92881155352</v>
      </c>
      <c r="W455" s="3">
        <f t="shared" si="99"/>
        <v>-29796.341821088437</v>
      </c>
      <c r="X455" s="3">
        <f t="shared" si="100"/>
        <v>2435.269760770937</v>
      </c>
      <c r="Y455" s="3">
        <f t="shared" si="101"/>
        <v>6912313.138326453</v>
      </c>
      <c r="Z455" s="3">
        <f t="shared" si="102"/>
        <v>-473606.09722434595</v>
      </c>
      <c r="AA455" s="3">
        <f t="shared" si="103"/>
        <v>6928519.0089663882</v>
      </c>
      <c r="AB455" s="3">
        <f t="shared" si="104"/>
        <v>6872313.138326453</v>
      </c>
      <c r="AC455" s="3">
        <f t="shared" si="105"/>
        <v>-471106.09722434595</v>
      </c>
      <c r="AD455" s="3">
        <f t="shared" si="106"/>
        <v>6888441.6834329329</v>
      </c>
      <c r="AE455" s="3">
        <f t="shared" si="107"/>
        <v>6887313.138326453</v>
      </c>
      <c r="AF455" s="3">
        <f t="shared" si="111"/>
        <v>-496106.09722434595</v>
      </c>
      <c r="AG455" s="3">
        <f t="shared" si="108"/>
        <v>6905157.7480219342</v>
      </c>
      <c r="AH455" s="3">
        <f t="shared" si="109"/>
        <v>2.5610651612972921E-2</v>
      </c>
      <c r="AI455" s="3">
        <f t="shared" si="110"/>
        <v>-1.7933848743586856E-3</v>
      </c>
    </row>
    <row r="456" spans="19:35" x14ac:dyDescent="0.3">
      <c r="S456" s="6">
        <v>439</v>
      </c>
      <c r="T456" s="4">
        <f t="shared" si="96"/>
        <v>219.5</v>
      </c>
      <c r="U456" s="3">
        <f t="shared" si="97"/>
        <v>-6922112.2838573093</v>
      </c>
      <c r="V456" s="3">
        <f t="shared" si="98"/>
        <v>483541.5632435928</v>
      </c>
      <c r="W456" s="3">
        <f t="shared" si="99"/>
        <v>-29790.720283059389</v>
      </c>
      <c r="X456" s="3">
        <f t="shared" si="100"/>
        <v>2434.8761127910152</v>
      </c>
      <c r="Y456" s="3">
        <f t="shared" si="101"/>
        <v>6927214.1193494285</v>
      </c>
      <c r="Z456" s="3">
        <f t="shared" si="102"/>
        <v>-474823.92881155352</v>
      </c>
      <c r="AA456" s="3">
        <f t="shared" si="103"/>
        <v>6943468.3853738485</v>
      </c>
      <c r="AB456" s="3">
        <f t="shared" si="104"/>
        <v>6887214.1193494285</v>
      </c>
      <c r="AC456" s="3">
        <f t="shared" si="105"/>
        <v>-472323.92881155352</v>
      </c>
      <c r="AD456" s="3">
        <f t="shared" si="106"/>
        <v>6903391.0666783256</v>
      </c>
      <c r="AE456" s="3">
        <f t="shared" si="107"/>
        <v>6902214.1193494285</v>
      </c>
      <c r="AF456" s="3">
        <f t="shared" si="111"/>
        <v>-497323.92881155352</v>
      </c>
      <c r="AG456" s="3">
        <f t="shared" si="108"/>
        <v>6920107.7187797567</v>
      </c>
      <c r="AH456" s="3">
        <f t="shared" si="109"/>
        <v>2.5500190663339965E-2</v>
      </c>
      <c r="AI456" s="3">
        <f t="shared" si="110"/>
        <v>-1.7862930809929435E-3</v>
      </c>
    </row>
    <row r="457" spans="19:35" x14ac:dyDescent="0.3">
      <c r="S457" s="6">
        <v>440</v>
      </c>
      <c r="T457" s="4">
        <f t="shared" si="96"/>
        <v>220</v>
      </c>
      <c r="U457" s="3">
        <f t="shared" si="97"/>
        <v>-6937007.6376237916</v>
      </c>
      <c r="V457" s="3">
        <f t="shared" si="98"/>
        <v>484759.00085341505</v>
      </c>
      <c r="W457" s="3">
        <f t="shared" si="99"/>
        <v>-29785.110241113453</v>
      </c>
      <c r="X457" s="3">
        <f t="shared" si="100"/>
        <v>2434.4831283131966</v>
      </c>
      <c r="Y457" s="3">
        <f t="shared" si="101"/>
        <v>6942112.2838573093</v>
      </c>
      <c r="Z457" s="3">
        <f t="shared" si="102"/>
        <v>-476041.5632435928</v>
      </c>
      <c r="AA457" s="3">
        <f t="shared" si="103"/>
        <v>6958414.9439091338</v>
      </c>
      <c r="AB457" s="3">
        <f t="shared" si="104"/>
        <v>6902112.2838573093</v>
      </c>
      <c r="AC457" s="3">
        <f t="shared" si="105"/>
        <v>-473541.5632435928</v>
      </c>
      <c r="AD457" s="3">
        <f t="shared" si="106"/>
        <v>6918337.6320538986</v>
      </c>
      <c r="AE457" s="3">
        <f t="shared" si="107"/>
        <v>6917112.2838573093</v>
      </c>
      <c r="AF457" s="3">
        <f t="shared" si="111"/>
        <v>-498541.5632435928</v>
      </c>
      <c r="AG457" s="3">
        <f t="shared" si="108"/>
        <v>6935054.8691247599</v>
      </c>
      <c r="AH457" s="3">
        <f t="shared" si="109"/>
        <v>2.5390463422848938E-2</v>
      </c>
      <c r="AI457" s="3">
        <f t="shared" si="110"/>
        <v>-1.779244375876603E-3</v>
      </c>
    </row>
    <row r="458" spans="19:35" x14ac:dyDescent="0.3">
      <c r="S458" s="6">
        <v>441</v>
      </c>
      <c r="T458" s="4">
        <f t="shared" si="96"/>
        <v>220.5</v>
      </c>
      <c r="U458" s="3">
        <f t="shared" si="97"/>
        <v>-6951900.186396732</v>
      </c>
      <c r="V458" s="3">
        <f t="shared" si="98"/>
        <v>485976.24197276059</v>
      </c>
      <c r="W458" s="3">
        <f t="shared" si="99"/>
        <v>-29779.511643928716</v>
      </c>
      <c r="X458" s="3">
        <f t="shared" si="100"/>
        <v>2434.0908049283157</v>
      </c>
      <c r="Y458" s="3">
        <f t="shared" si="101"/>
        <v>6957007.6376237916</v>
      </c>
      <c r="Z458" s="3">
        <f t="shared" si="102"/>
        <v>-477259.00085341505</v>
      </c>
      <c r="AA458" s="3">
        <f t="shared" si="103"/>
        <v>6973358.6903192755</v>
      </c>
      <c r="AB458" s="3">
        <f t="shared" si="104"/>
        <v>6917007.6376237916</v>
      </c>
      <c r="AC458" s="3">
        <f t="shared" si="105"/>
        <v>-474759.00085341505</v>
      </c>
      <c r="AD458" s="3">
        <f t="shared" si="106"/>
        <v>6933281.3853064701</v>
      </c>
      <c r="AE458" s="3">
        <f t="shared" si="107"/>
        <v>6932007.6376237916</v>
      </c>
      <c r="AF458" s="3">
        <f t="shared" si="111"/>
        <v>-499759.00085341505</v>
      </c>
      <c r="AG458" s="3">
        <f t="shared" si="108"/>
        <v>6949999.2048207158</v>
      </c>
      <c r="AH458" s="3">
        <f t="shared" si="109"/>
        <v>2.5281463327136981E-2</v>
      </c>
      <c r="AI458" s="3">
        <f t="shared" si="110"/>
        <v>-1.7722384079983198E-3</v>
      </c>
    </row>
    <row r="459" spans="19:35" x14ac:dyDescent="0.3">
      <c r="S459" s="6">
        <v>442</v>
      </c>
      <c r="T459" s="4">
        <f t="shared" si="96"/>
        <v>221</v>
      </c>
      <c r="U459" s="3">
        <f t="shared" si="97"/>
        <v>-6966789.935898331</v>
      </c>
      <c r="V459" s="3">
        <f t="shared" si="98"/>
        <v>487193.28693216515</v>
      </c>
      <c r="W459" s="3">
        <f t="shared" si="99"/>
        <v>-29773.924440533418</v>
      </c>
      <c r="X459" s="3">
        <f t="shared" si="100"/>
        <v>2433.6991402401482</v>
      </c>
      <c r="Y459" s="3">
        <f t="shared" si="101"/>
        <v>6971900.186396732</v>
      </c>
      <c r="Z459" s="3">
        <f t="shared" si="102"/>
        <v>-478476.24197276059</v>
      </c>
      <c r="AA459" s="3">
        <f t="shared" si="103"/>
        <v>6988299.6303257607</v>
      </c>
      <c r="AB459" s="3">
        <f t="shared" si="104"/>
        <v>6931900.186396732</v>
      </c>
      <c r="AC459" s="3">
        <f t="shared" si="105"/>
        <v>-475976.24197276059</v>
      </c>
      <c r="AD459" s="3">
        <f t="shared" si="106"/>
        <v>6948222.3321573092</v>
      </c>
      <c r="AE459" s="3">
        <f t="shared" si="107"/>
        <v>6946900.186396732</v>
      </c>
      <c r="AF459" s="3">
        <f t="shared" si="111"/>
        <v>-500976.24197276059</v>
      </c>
      <c r="AG459" s="3">
        <f t="shared" si="108"/>
        <v>6964940.7316056974</v>
      </c>
      <c r="AH459" s="3">
        <f t="shared" si="109"/>
        <v>2.5173183885597892E-2</v>
      </c>
      <c r="AI459" s="3">
        <f t="shared" si="110"/>
        <v>-1.765274829915126E-3</v>
      </c>
    </row>
    <row r="460" spans="19:35" x14ac:dyDescent="0.3">
      <c r="S460" s="6">
        <v>443</v>
      </c>
      <c r="T460" s="4">
        <f t="shared" si="96"/>
        <v>221.5</v>
      </c>
      <c r="U460" s="3">
        <f t="shared" si="97"/>
        <v>-6981676.8918253016</v>
      </c>
      <c r="V460" s="3">
        <f t="shared" si="98"/>
        <v>488410.13606096653</v>
      </c>
      <c r="W460" s="3">
        <f t="shared" si="99"/>
        <v>-29768.348580302758</v>
      </c>
      <c r="X460" s="3">
        <f t="shared" si="100"/>
        <v>2433.3081318653221</v>
      </c>
      <c r="Y460" s="3">
        <f t="shared" si="101"/>
        <v>6986789.935898331</v>
      </c>
      <c r="Z460" s="3">
        <f t="shared" si="102"/>
        <v>-479693.28693216515</v>
      </c>
      <c r="AA460" s="3">
        <f t="shared" si="103"/>
        <v>7003237.7696247026</v>
      </c>
      <c r="AB460" s="3">
        <f t="shared" si="104"/>
        <v>6946789.935898331</v>
      </c>
      <c r="AC460" s="3">
        <f t="shared" si="105"/>
        <v>-477193.28693216515</v>
      </c>
      <c r="AD460" s="3">
        <f t="shared" si="106"/>
        <v>6963160.4783023251</v>
      </c>
      <c r="AE460" s="3">
        <f t="shared" si="107"/>
        <v>6961789.935898331</v>
      </c>
      <c r="AF460" s="3">
        <f t="shared" si="111"/>
        <v>-502193.28693216515</v>
      </c>
      <c r="AG460" s="3">
        <f t="shared" si="108"/>
        <v>6979879.4551922614</v>
      </c>
      <c r="AH460" s="3">
        <f t="shared" si="109"/>
        <v>2.5065618680384899E-2</v>
      </c>
      <c r="AI460" s="3">
        <f t="shared" si="110"/>
        <v>-1.7583532977091159E-3</v>
      </c>
    </row>
    <row r="461" spans="19:35" x14ac:dyDescent="0.3">
      <c r="S461" s="6">
        <v>444</v>
      </c>
      <c r="T461" s="4">
        <f t="shared" si="96"/>
        <v>222</v>
      </c>
      <c r="U461" s="3">
        <f t="shared" si="97"/>
        <v>-6996561.059849048</v>
      </c>
      <c r="V461" s="3">
        <f t="shared" si="98"/>
        <v>489626.78968731087</v>
      </c>
      <c r="W461" s="3">
        <f t="shared" si="99"/>
        <v>-29762.784012955712</v>
      </c>
      <c r="X461" s="3">
        <f t="shared" si="100"/>
        <v>2432.9177774332306</v>
      </c>
      <c r="Y461" s="3">
        <f t="shared" si="101"/>
        <v>7001676.8918253016</v>
      </c>
      <c r="Z461" s="3">
        <f t="shared" si="102"/>
        <v>-480910.13606096653</v>
      </c>
      <c r="AA461" s="3">
        <f t="shared" si="103"/>
        <v>7018173.1138870176</v>
      </c>
      <c r="AB461" s="3">
        <f t="shared" si="104"/>
        <v>6961676.8918253016</v>
      </c>
      <c r="AC461" s="3">
        <f t="shared" si="105"/>
        <v>-478410.13606096653</v>
      </c>
      <c r="AD461" s="3">
        <f t="shared" si="106"/>
        <v>6978095.8294122238</v>
      </c>
      <c r="AE461" s="3">
        <f t="shared" si="107"/>
        <v>6976676.8918253016</v>
      </c>
      <c r="AF461" s="3">
        <f t="shared" si="111"/>
        <v>-503410.13606096653</v>
      </c>
      <c r="AG461" s="3">
        <f t="shared" si="108"/>
        <v>6994815.3812676193</v>
      </c>
      <c r="AH461" s="3">
        <f t="shared" si="109"/>
        <v>2.4958761365430696E-2</v>
      </c>
      <c r="AI461" s="3">
        <f t="shared" si="110"/>
        <v>-1.7514734709448497E-3</v>
      </c>
    </row>
    <row r="462" spans="19:35" x14ac:dyDescent="0.3">
      <c r="S462" s="6">
        <v>445</v>
      </c>
      <c r="T462" s="4">
        <f t="shared" si="96"/>
        <v>222.5</v>
      </c>
      <c r="U462" s="3">
        <f t="shared" si="97"/>
        <v>-7011442.4456158364</v>
      </c>
      <c r="V462" s="3">
        <f t="shared" si="98"/>
        <v>490843.24813815911</v>
      </c>
      <c r="W462" s="3">
        <f t="shared" si="99"/>
        <v>-29757.230688551903</v>
      </c>
      <c r="X462" s="3">
        <f t="shared" si="100"/>
        <v>2432.5280745859454</v>
      </c>
      <c r="Y462" s="3">
        <f t="shared" si="101"/>
        <v>7016561.059849048</v>
      </c>
      <c r="Z462" s="3">
        <f t="shared" si="102"/>
        <v>-482126.78968731087</v>
      </c>
      <c r="AA462" s="3">
        <f t="shared" si="103"/>
        <v>7033105.6687585888</v>
      </c>
      <c r="AB462" s="3">
        <f t="shared" si="104"/>
        <v>6976561.059849048</v>
      </c>
      <c r="AC462" s="3">
        <f t="shared" si="105"/>
        <v>-479626.78968731087</v>
      </c>
      <c r="AD462" s="3">
        <f t="shared" si="106"/>
        <v>6993028.3911326881</v>
      </c>
      <c r="AE462" s="3">
        <f t="shared" si="107"/>
        <v>6991561.059849048</v>
      </c>
      <c r="AF462" s="3">
        <f t="shared" si="111"/>
        <v>-504626.78968731087</v>
      </c>
      <c r="AG462" s="3">
        <f t="shared" si="108"/>
        <v>7009748.5154938102</v>
      </c>
      <c r="AH462" s="3">
        <f t="shared" si="109"/>
        <v>2.4852605665481524E-2</v>
      </c>
      <c r="AI462" s="3">
        <f t="shared" si="110"/>
        <v>-1.7446350126272495E-3</v>
      </c>
    </row>
    <row r="463" spans="19:35" x14ac:dyDescent="0.3">
      <c r="S463" s="6">
        <v>446</v>
      </c>
      <c r="T463" s="4">
        <f t="shared" si="96"/>
        <v>223</v>
      </c>
      <c r="U463" s="3">
        <f t="shared" si="97"/>
        <v>-7026321.0547469603</v>
      </c>
      <c r="V463" s="3">
        <f t="shared" si="98"/>
        <v>492059.51173929335</v>
      </c>
      <c r="W463" s="3">
        <f t="shared" si="99"/>
        <v>-29751.688557488502</v>
      </c>
      <c r="X463" s="3">
        <f t="shared" si="100"/>
        <v>2432.1390209781293</v>
      </c>
      <c r="Y463" s="3">
        <f t="shared" si="101"/>
        <v>7031442.4456158364</v>
      </c>
      <c r="Z463" s="3">
        <f t="shared" si="102"/>
        <v>-483343.24813815911</v>
      </c>
      <c r="AA463" s="3">
        <f t="shared" si="103"/>
        <v>7048035.4398604408</v>
      </c>
      <c r="AB463" s="3">
        <f t="shared" si="104"/>
        <v>6991442.4456158364</v>
      </c>
      <c r="AC463" s="3">
        <f t="shared" si="105"/>
        <v>-480843.24813815911</v>
      </c>
      <c r="AD463" s="3">
        <f t="shared" si="106"/>
        <v>7007958.1690845443</v>
      </c>
      <c r="AE463" s="3">
        <f t="shared" si="107"/>
        <v>7006442.4456158364</v>
      </c>
      <c r="AF463" s="3">
        <f t="shared" si="111"/>
        <v>-505843.24813815911</v>
      </c>
      <c r="AG463" s="3">
        <f t="shared" si="108"/>
        <v>7024678.8635078678</v>
      </c>
      <c r="AH463" s="3">
        <f t="shared" si="109"/>
        <v>2.4747145375146794E-2</v>
      </c>
      <c r="AI463" s="3">
        <f t="shared" si="110"/>
        <v>-1.7378375891601164E-3</v>
      </c>
    </row>
    <row r="464" spans="19:35" x14ac:dyDescent="0.3">
      <c r="S464" s="6">
        <v>447</v>
      </c>
      <c r="T464" s="4">
        <f t="shared" si="96"/>
        <v>223.5</v>
      </c>
      <c r="U464" s="3">
        <f t="shared" si="97"/>
        <v>-7041196.8928389186</v>
      </c>
      <c r="V464" s="3">
        <f t="shared" si="98"/>
        <v>493275.58081532299</v>
      </c>
      <c r="W464" s="3">
        <f t="shared" si="99"/>
        <v>-29746.157570497158</v>
      </c>
      <c r="X464" s="3">
        <f t="shared" si="100"/>
        <v>2431.7506142769521</v>
      </c>
      <c r="Y464" s="3">
        <f t="shared" si="101"/>
        <v>7046321.0547469603</v>
      </c>
      <c r="Z464" s="3">
        <f t="shared" si="102"/>
        <v>-484559.51173929335</v>
      </c>
      <c r="AA464" s="3">
        <f t="shared" si="103"/>
        <v>7062962.4327889029</v>
      </c>
      <c r="AB464" s="3">
        <f t="shared" si="104"/>
        <v>7006321.0547469603</v>
      </c>
      <c r="AC464" s="3">
        <f t="shared" si="105"/>
        <v>-482059.51173929335</v>
      </c>
      <c r="AD464" s="3">
        <f t="shared" si="106"/>
        <v>7022885.1688639252</v>
      </c>
      <c r="AE464" s="3">
        <f t="shared" si="107"/>
        <v>7021321.0547469603</v>
      </c>
      <c r="AF464" s="3">
        <f t="shared" si="111"/>
        <v>-507059.51173929335</v>
      </c>
      <c r="AG464" s="3">
        <f t="shared" si="108"/>
        <v>7039606.4309219914</v>
      </c>
      <c r="AH464" s="3">
        <f t="shared" si="109"/>
        <v>2.4642374357963709E-2</v>
      </c>
      <c r="AI464" s="3">
        <f t="shared" si="110"/>
        <v>-1.7310808703052292E-3</v>
      </c>
    </row>
    <row r="465" spans="19:35" x14ac:dyDescent="0.3">
      <c r="S465" s="6">
        <v>448</v>
      </c>
      <c r="T465" s="4">
        <f t="shared" si="96"/>
        <v>224</v>
      </c>
      <c r="U465" s="3">
        <f t="shared" si="97"/>
        <v>-7056069.965463574</v>
      </c>
      <c r="V465" s="3">
        <f t="shared" si="98"/>
        <v>494491.45568969124</v>
      </c>
      <c r="W465" s="3">
        <f t="shared" si="99"/>
        <v>-29740.637678640975</v>
      </c>
      <c r="X465" s="3">
        <f t="shared" si="100"/>
        <v>2431.3628521620039</v>
      </c>
      <c r="Y465" s="3">
        <f t="shared" si="101"/>
        <v>7061196.8928389186</v>
      </c>
      <c r="Z465" s="3">
        <f t="shared" si="102"/>
        <v>-485775.58081532299</v>
      </c>
      <c r="AA465" s="3">
        <f t="shared" si="103"/>
        <v>7077886.6531157773</v>
      </c>
      <c r="AB465" s="3">
        <f t="shared" si="104"/>
        <v>7021196.8928389186</v>
      </c>
      <c r="AC465" s="3">
        <f t="shared" si="105"/>
        <v>-483275.58081532299</v>
      </c>
      <c r="AD465" s="3">
        <f t="shared" si="106"/>
        <v>7037809.396042441</v>
      </c>
      <c r="AE465" s="3">
        <f t="shared" si="107"/>
        <v>7036196.8928389186</v>
      </c>
      <c r="AF465" s="3">
        <f t="shared" si="111"/>
        <v>-508275.58081532299</v>
      </c>
      <c r="AG465" s="3">
        <f t="shared" si="108"/>
        <v>7054531.2233237168</v>
      </c>
      <c r="AH465" s="3">
        <f t="shared" si="109"/>
        <v>2.4538286545477038E-2</v>
      </c>
      <c r="AI465" s="3">
        <f t="shared" si="110"/>
        <v>-1.7243645291420474E-3</v>
      </c>
    </row>
    <row r="466" spans="19:35" x14ac:dyDescent="0.3">
      <c r="S466" s="6">
        <v>449</v>
      </c>
      <c r="T466" s="4">
        <f t="shared" ref="T466:T529" si="112">T465+$C$4</f>
        <v>224.5</v>
      </c>
      <c r="U466" s="3">
        <f t="shared" ref="U466:U529" si="113">U465+(W465*$C$4)+(AH465*POWER($C$4,2))</f>
        <v>-7070940.2781683234</v>
      </c>
      <c r="V466" s="3">
        <f t="shared" ref="V466:V529" si="114">V465+(X465*$C$4)+(AI465*POWER($C$4,2))</f>
        <v>495707.13668468111</v>
      </c>
      <c r="W466" s="3">
        <f t="shared" ref="W466:W529" si="115">W465+(AH465*T466)</f>
        <v>-29735.128833311515</v>
      </c>
      <c r="X466" s="3">
        <f t="shared" ref="X466:X529" si="116">X465+(AI465*T466)</f>
        <v>2430.9757323252115</v>
      </c>
      <c r="Y466" s="3">
        <f t="shared" ref="Y466:Y529" si="117">$C$19-U465</f>
        <v>7076069.965463574</v>
      </c>
      <c r="Z466" s="3">
        <f t="shared" ref="Z466:Z529" si="118">$C$20-V465</f>
        <v>-486991.45568969124</v>
      </c>
      <c r="AA466" s="3">
        <f t="shared" ref="AA466:AA529" si="119">SQRT(POWER(Y466,2)+POWER(Z466,2))</f>
        <v>7092808.1063885009</v>
      </c>
      <c r="AB466" s="3">
        <f t="shared" ref="AB466:AB529" si="120">$F$19-U465</f>
        <v>7036069.965463574</v>
      </c>
      <c r="AC466" s="3">
        <f t="shared" ref="AC466:AC529" si="121">$F$20-V465</f>
        <v>-484491.45568969124</v>
      </c>
      <c r="AD466" s="3">
        <f t="shared" ref="AD466:AD529" si="122">SQRT(POWER(AB466,2)+POWER(AC466,2))</f>
        <v>7052730.8561673397</v>
      </c>
      <c r="AE466" s="3">
        <f t="shared" ref="AE466:AE529" si="123">$I$19-U465</f>
        <v>7051069.965463574</v>
      </c>
      <c r="AF466" s="3">
        <f t="shared" si="111"/>
        <v>-509491.45568969124</v>
      </c>
      <c r="AG466" s="3">
        <f t="shared" ref="AG466:AG529" si="124">SQRT(POWER(AE466,2)+POWER(AF466,2))</f>
        <v>7069453.2462760713</v>
      </c>
      <c r="AH466" s="3">
        <f t="shared" ref="AH466:AH529" si="125">($C$24*(Y466/POWER(POWER(AA466,2)+POWER($C$25,2),3/2)))+($F$24*(AB466/POWER(POWER(AD466,2)+POWER($F$25,2),3/2)))+($I$24*(AE466/POWER(POWER(AG466,2)+POWER($I$25,2),3/2)))</f>
        <v>2.4434875936332014E-2</v>
      </c>
      <c r="AI466" s="3">
        <f t="shared" ref="AI466:AI529" si="126">$C$24*(Z466/POWER(POWER(AA466,2)+POWER($C$25,2),3/2))+$F$24*(AC466/POWER(POWER(AD466,2)+POWER($F$25,2),3/2))+$I$24*(AF466/POWER(POWER(AG466,2)+POWER($I$25,2),3/2))</f>
        <v>-1.7176882420278936E-3</v>
      </c>
    </row>
    <row r="467" spans="19:35" x14ac:dyDescent="0.3">
      <c r="S467" s="6">
        <v>450</v>
      </c>
      <c r="T467" s="4">
        <f t="shared" si="112"/>
        <v>225</v>
      </c>
      <c r="U467" s="3">
        <f t="shared" si="113"/>
        <v>-7085807.8364762599</v>
      </c>
      <c r="V467" s="3">
        <f t="shared" si="114"/>
        <v>496922.62412142166</v>
      </c>
      <c r="W467" s="3">
        <f t="shared" si="115"/>
        <v>-29729.630986225842</v>
      </c>
      <c r="X467" s="3">
        <f t="shared" si="116"/>
        <v>2430.5892524707551</v>
      </c>
      <c r="Y467" s="3">
        <f t="shared" si="117"/>
        <v>7090940.2781683234</v>
      </c>
      <c r="Z467" s="3">
        <f t="shared" si="118"/>
        <v>-488207.13668468111</v>
      </c>
      <c r="AA467" s="3">
        <f t="shared" si="119"/>
        <v>7107726.7981303073</v>
      </c>
      <c r="AB467" s="3">
        <f t="shared" si="120"/>
        <v>7050940.2781683234</v>
      </c>
      <c r="AC467" s="3">
        <f t="shared" si="121"/>
        <v>-485707.13668468111</v>
      </c>
      <c r="AD467" s="3">
        <f t="shared" si="122"/>
        <v>7067649.5547616696</v>
      </c>
      <c r="AE467" s="3">
        <f t="shared" si="123"/>
        <v>7065940.2781683234</v>
      </c>
      <c r="AF467" s="3">
        <f t="shared" ref="AF467:AF530" si="127">$I$20-V466</f>
        <v>-510707.13668468111</v>
      </c>
      <c r="AG467" s="3">
        <f t="shared" si="124"/>
        <v>7084372.5053177513</v>
      </c>
      <c r="AH467" s="3">
        <f t="shared" si="125"/>
        <v>2.4332136595382373E-2</v>
      </c>
      <c r="AI467" s="3">
        <f t="shared" si="126"/>
        <v>-1.7110516885587555E-3</v>
      </c>
    </row>
    <row r="468" spans="19:35" x14ac:dyDescent="0.3">
      <c r="S468" s="6">
        <v>451</v>
      </c>
      <c r="T468" s="4">
        <f t="shared" si="112"/>
        <v>225.5</v>
      </c>
      <c r="U468" s="3">
        <f t="shared" si="113"/>
        <v>-7100672.6458863392</v>
      </c>
      <c r="V468" s="3">
        <f t="shared" si="114"/>
        <v>498137.91831989412</v>
      </c>
      <c r="W468" s="3">
        <f t="shared" si="115"/>
        <v>-29724.144089423582</v>
      </c>
      <c r="X468" s="3">
        <f t="shared" si="116"/>
        <v>2430.2034103149849</v>
      </c>
      <c r="Y468" s="3">
        <f t="shared" si="117"/>
        <v>7105807.8364762599</v>
      </c>
      <c r="Z468" s="3">
        <f t="shared" si="118"/>
        <v>-489422.62412142166</v>
      </c>
      <c r="AA468" s="3">
        <f t="shared" si="119"/>
        <v>7122642.733840391</v>
      </c>
      <c r="AB468" s="3">
        <f t="shared" si="120"/>
        <v>7065807.8364762599</v>
      </c>
      <c r="AC468" s="3">
        <f t="shared" si="121"/>
        <v>-486922.62412142166</v>
      </c>
      <c r="AD468" s="3">
        <f t="shared" si="122"/>
        <v>7082565.4973244416</v>
      </c>
      <c r="AE468" s="3">
        <f t="shared" si="123"/>
        <v>7080807.8364762599</v>
      </c>
      <c r="AF468" s="3">
        <f t="shared" si="127"/>
        <v>-511922.62412142166</v>
      </c>
      <c r="AG468" s="3">
        <f t="shared" si="124"/>
        <v>7099289.0059632715</v>
      </c>
      <c r="AH468" s="3">
        <f t="shared" si="125"/>
        <v>2.4230062652811704E-2</v>
      </c>
      <c r="AI468" s="3">
        <f t="shared" si="126"/>
        <v>-1.7044545515305905E-3</v>
      </c>
    </row>
    <row r="469" spans="19:35" x14ac:dyDescent="0.3">
      <c r="S469" s="6">
        <v>452</v>
      </c>
      <c r="T469" s="4">
        <f t="shared" si="112"/>
        <v>226</v>
      </c>
      <c r="U469" s="3">
        <f t="shared" si="113"/>
        <v>-7115534.7118735351</v>
      </c>
      <c r="V469" s="3">
        <f t="shared" si="114"/>
        <v>499353.01959893794</v>
      </c>
      <c r="W469" s="3">
        <f t="shared" si="115"/>
        <v>-29718.668095264045</v>
      </c>
      <c r="X469" s="3">
        <f t="shared" si="116"/>
        <v>2429.8182035863392</v>
      </c>
      <c r="Y469" s="3">
        <f t="shared" si="117"/>
        <v>7120672.6458863392</v>
      </c>
      <c r="Z469" s="3">
        <f t="shared" si="118"/>
        <v>-490637.91831989412</v>
      </c>
      <c r="AA469" s="3">
        <f t="shared" si="119"/>
        <v>7137555.9189940672</v>
      </c>
      <c r="AB469" s="3">
        <f t="shared" si="120"/>
        <v>7080672.6458863392</v>
      </c>
      <c r="AC469" s="3">
        <f t="shared" si="121"/>
        <v>-488137.91831989412</v>
      </c>
      <c r="AD469" s="3">
        <f t="shared" si="122"/>
        <v>7097478.6893307921</v>
      </c>
      <c r="AE469" s="3">
        <f t="shared" si="123"/>
        <v>7095672.6458863392</v>
      </c>
      <c r="AF469" s="3">
        <f t="shared" si="127"/>
        <v>-513137.91831989412</v>
      </c>
      <c r="AG469" s="3">
        <f t="shared" si="124"/>
        <v>7114202.7537031379</v>
      </c>
      <c r="AH469" s="3">
        <f t="shared" si="125"/>
        <v>2.412864830326919E-2</v>
      </c>
      <c r="AI469" s="3">
        <f t="shared" si="126"/>
        <v>-1.6978965169012245E-3</v>
      </c>
    </row>
    <row r="470" spans="19:35" x14ac:dyDescent="0.3">
      <c r="S470" s="6">
        <v>453</v>
      </c>
      <c r="T470" s="4">
        <f t="shared" si="112"/>
        <v>226.5</v>
      </c>
      <c r="U470" s="3">
        <f t="shared" si="113"/>
        <v>-7130394.039889005</v>
      </c>
      <c r="V470" s="3">
        <f t="shared" si="114"/>
        <v>500567.92827625701</v>
      </c>
      <c r="W470" s="3">
        <f t="shared" si="115"/>
        <v>-29713.202956423356</v>
      </c>
      <c r="X470" s="3">
        <f t="shared" si="116"/>
        <v>2429.4336300252612</v>
      </c>
      <c r="Y470" s="3">
        <f t="shared" si="117"/>
        <v>7135534.7118735351</v>
      </c>
      <c r="Z470" s="3">
        <f t="shared" si="118"/>
        <v>-491853.01959893794</v>
      </c>
      <c r="AA470" s="3">
        <f t="shared" si="119"/>
        <v>7152466.359042923</v>
      </c>
      <c r="AB470" s="3">
        <f t="shared" si="120"/>
        <v>7095534.7118735351</v>
      </c>
      <c r="AC470" s="3">
        <f t="shared" si="121"/>
        <v>-489353.01959893794</v>
      </c>
      <c r="AD470" s="3">
        <f t="shared" si="122"/>
        <v>7112389.1362321321</v>
      </c>
      <c r="AE470" s="3">
        <f t="shared" si="123"/>
        <v>7110534.7118735351</v>
      </c>
      <c r="AF470" s="3">
        <f t="shared" si="127"/>
        <v>-514353.01959893794</v>
      </c>
      <c r="AG470" s="3">
        <f t="shared" si="124"/>
        <v>7129113.7540039998</v>
      </c>
      <c r="AH470" s="3">
        <f t="shared" si="125"/>
        <v>2.4027887805017363E-2</v>
      </c>
      <c r="AI470" s="3">
        <f t="shared" si="126"/>
        <v>-1.6913772737526781E-3</v>
      </c>
    </row>
    <row r="471" spans="19:35" x14ac:dyDescent="0.3">
      <c r="S471" s="6">
        <v>454</v>
      </c>
      <c r="T471" s="4">
        <f t="shared" si="112"/>
        <v>227</v>
      </c>
      <c r="U471" s="3">
        <f t="shared" si="113"/>
        <v>-7145250.6353602447</v>
      </c>
      <c r="V471" s="3">
        <f t="shared" si="114"/>
        <v>501782.64466842532</v>
      </c>
      <c r="W471" s="3">
        <f t="shared" si="115"/>
        <v>-29707.748625891618</v>
      </c>
      <c r="X471" s="3">
        <f t="shared" si="116"/>
        <v>2429.0496873841194</v>
      </c>
      <c r="Y471" s="3">
        <f t="shared" si="117"/>
        <v>7150394.039889005</v>
      </c>
      <c r="Z471" s="3">
        <f t="shared" si="118"/>
        <v>-493067.92827625701</v>
      </c>
      <c r="AA471" s="3">
        <f t="shared" si="119"/>
        <v>7167374.0594149856</v>
      </c>
      <c r="AB471" s="3">
        <f t="shared" si="120"/>
        <v>7110394.039889005</v>
      </c>
      <c r="AC471" s="3">
        <f t="shared" si="121"/>
        <v>-490567.92827625701</v>
      </c>
      <c r="AD471" s="3">
        <f t="shared" si="122"/>
        <v>7127296.8434563149</v>
      </c>
      <c r="AE471" s="3">
        <f t="shared" si="123"/>
        <v>7125394.039889005</v>
      </c>
      <c r="AF471" s="3">
        <f t="shared" si="127"/>
        <v>-515567.92827625701</v>
      </c>
      <c r="AG471" s="3">
        <f t="shared" si="124"/>
        <v>7144022.0123088108</v>
      </c>
      <c r="AH471" s="3">
        <f t="shared" si="125"/>
        <v>2.3927775479094186E-2</v>
      </c>
      <c r="AI471" s="3">
        <f t="shared" si="126"/>
        <v>-1.6848965142540946E-3</v>
      </c>
    </row>
    <row r="472" spans="19:35" x14ac:dyDescent="0.3">
      <c r="S472" s="6">
        <v>455</v>
      </c>
      <c r="T472" s="4">
        <f t="shared" si="112"/>
        <v>227.5</v>
      </c>
      <c r="U472" s="3">
        <f t="shared" si="113"/>
        <v>-7160104.5036912467</v>
      </c>
      <c r="V472" s="3">
        <f t="shared" si="114"/>
        <v>502997.16909089329</v>
      </c>
      <c r="W472" s="3">
        <f t="shared" si="115"/>
        <v>-29702.305056970123</v>
      </c>
      <c r="X472" s="3">
        <f t="shared" si="116"/>
        <v>2428.6663734271265</v>
      </c>
      <c r="Y472" s="3">
        <f t="shared" si="117"/>
        <v>7165250.6353602447</v>
      </c>
      <c r="Z472" s="3">
        <f t="shared" si="118"/>
        <v>-494282.64466842532</v>
      </c>
      <c r="AA472" s="3">
        <f t="shared" si="119"/>
        <v>7182279.0255148681</v>
      </c>
      <c r="AB472" s="3">
        <f t="shared" si="120"/>
        <v>7125250.6353602447</v>
      </c>
      <c r="AC472" s="3">
        <f t="shared" si="121"/>
        <v>-491782.64466842532</v>
      </c>
      <c r="AD472" s="3">
        <f t="shared" si="122"/>
        <v>7142201.816407783</v>
      </c>
      <c r="AE472" s="3">
        <f t="shared" si="123"/>
        <v>7140250.6353602447</v>
      </c>
      <c r="AF472" s="3">
        <f t="shared" si="127"/>
        <v>-516782.64466842532</v>
      </c>
      <c r="AG472" s="3">
        <f t="shared" si="124"/>
        <v>7158927.5340369847</v>
      </c>
      <c r="AH472" s="3">
        <f t="shared" si="125"/>
        <v>2.3828305708487749E-2</v>
      </c>
      <c r="AI472" s="3">
        <f t="shared" si="126"/>
        <v>-1.6784539336251588E-3</v>
      </c>
    </row>
    <row r="473" spans="19:35" x14ac:dyDescent="0.3">
      <c r="S473" s="6">
        <v>456</v>
      </c>
      <c r="T473" s="4">
        <f t="shared" si="112"/>
        <v>228</v>
      </c>
      <c r="U473" s="3">
        <f t="shared" si="113"/>
        <v>-7174955.6502626557</v>
      </c>
      <c r="V473" s="3">
        <f t="shared" si="114"/>
        <v>504211.50185799337</v>
      </c>
      <c r="W473" s="3">
        <f t="shared" si="115"/>
        <v>-29696.872203268587</v>
      </c>
      <c r="X473" s="3">
        <f t="shared" si="116"/>
        <v>2428.2836859302602</v>
      </c>
      <c r="Y473" s="3">
        <f t="shared" si="117"/>
        <v>7180104.5036912467</v>
      </c>
      <c r="Z473" s="3">
        <f t="shared" si="118"/>
        <v>-495497.16909089329</v>
      </c>
      <c r="AA473" s="3">
        <f t="shared" si="119"/>
        <v>7197181.2627239292</v>
      </c>
      <c r="AB473" s="3">
        <f t="shared" si="120"/>
        <v>7140104.5036912467</v>
      </c>
      <c r="AC473" s="3">
        <f t="shared" si="121"/>
        <v>-492997.16909089329</v>
      </c>
      <c r="AD473" s="3">
        <f t="shared" si="122"/>
        <v>7157104.0604677293</v>
      </c>
      <c r="AE473" s="3">
        <f t="shared" si="123"/>
        <v>7155104.5036912467</v>
      </c>
      <c r="AF473" s="3">
        <f t="shared" si="127"/>
        <v>-517997.16909089329</v>
      </c>
      <c r="AG473" s="3">
        <f t="shared" si="124"/>
        <v>7173830.3245845549</v>
      </c>
      <c r="AH473" s="3">
        <f t="shared" si="125"/>
        <v>2.3729472937322964E-2</v>
      </c>
      <c r="AI473" s="3">
        <f t="shared" si="126"/>
        <v>-1.6720492300999691E-3</v>
      </c>
    </row>
    <row r="474" spans="19:35" x14ac:dyDescent="0.3">
      <c r="S474" s="6">
        <v>457</v>
      </c>
      <c r="T474" s="4">
        <f t="shared" si="112"/>
        <v>228.5</v>
      </c>
      <c r="U474" s="3">
        <f t="shared" si="113"/>
        <v>-7189804.0804319214</v>
      </c>
      <c r="V474" s="3">
        <f t="shared" si="114"/>
        <v>505425.6432829462</v>
      </c>
      <c r="W474" s="3">
        <f t="shared" si="115"/>
        <v>-29691.45001870241</v>
      </c>
      <c r="X474" s="3">
        <f t="shared" si="116"/>
        <v>2427.9016226811823</v>
      </c>
      <c r="Y474" s="3">
        <f t="shared" si="117"/>
        <v>7194955.6502626557</v>
      </c>
      <c r="Z474" s="3">
        <f t="shared" si="118"/>
        <v>-496711.50185799337</v>
      </c>
      <c r="AA474" s="3">
        <f t="shared" si="119"/>
        <v>7212080.7764004236</v>
      </c>
      <c r="AB474" s="3">
        <f t="shared" si="120"/>
        <v>7154955.6502626557</v>
      </c>
      <c r="AC474" s="3">
        <f t="shared" si="121"/>
        <v>-494211.50185799337</v>
      </c>
      <c r="AD474" s="3">
        <f t="shared" si="122"/>
        <v>7172003.5809942419</v>
      </c>
      <c r="AE474" s="3">
        <f t="shared" si="123"/>
        <v>7169955.6502626557</v>
      </c>
      <c r="AF474" s="3">
        <f t="shared" si="127"/>
        <v>-519211.50185799337</v>
      </c>
      <c r="AG474" s="3">
        <f t="shared" si="124"/>
        <v>7188730.3893243214</v>
      </c>
      <c r="AH474" s="3">
        <f t="shared" si="125"/>
        <v>2.3631271670062064E-2</v>
      </c>
      <c r="AI474" s="3">
        <f t="shared" si="126"/>
        <v>-1.6656821048914986E-3</v>
      </c>
    </row>
    <row r="475" spans="19:35" x14ac:dyDescent="0.3">
      <c r="S475" s="6">
        <v>458</v>
      </c>
      <c r="T475" s="4">
        <f t="shared" si="112"/>
        <v>229</v>
      </c>
      <c r="U475" s="3">
        <f t="shared" si="113"/>
        <v>-7204649.7995334547</v>
      </c>
      <c r="V475" s="3">
        <f t="shared" si="114"/>
        <v>506639.59367786627</v>
      </c>
      <c r="W475" s="3">
        <f t="shared" si="115"/>
        <v>-29686.038457489965</v>
      </c>
      <c r="X475" s="3">
        <f t="shared" si="116"/>
        <v>2427.5201814791621</v>
      </c>
      <c r="Y475" s="3">
        <f t="shared" si="117"/>
        <v>7209804.0804319214</v>
      </c>
      <c r="Z475" s="3">
        <f t="shared" si="118"/>
        <v>-497925.6432829462</v>
      </c>
      <c r="AA475" s="3">
        <f t="shared" si="119"/>
        <v>7226977.5718796523</v>
      </c>
      <c r="AB475" s="3">
        <f t="shared" si="120"/>
        <v>7169804.0804319214</v>
      </c>
      <c r="AC475" s="3">
        <f t="shared" si="121"/>
        <v>-495425.6432829462</v>
      </c>
      <c r="AD475" s="3">
        <f t="shared" si="122"/>
        <v>7186900.3833224615</v>
      </c>
      <c r="AE475" s="3">
        <f t="shared" si="123"/>
        <v>7184804.0804319214</v>
      </c>
      <c r="AF475" s="3">
        <f t="shared" si="127"/>
        <v>-520425.6432829462</v>
      </c>
      <c r="AG475" s="3">
        <f t="shared" si="124"/>
        <v>7203627.7336060097</v>
      </c>
      <c r="AH475" s="3">
        <f t="shared" si="125"/>
        <v>2.3533696470715799E-2</v>
      </c>
      <c r="AI475" s="3">
        <f t="shared" si="126"/>
        <v>-1.6593522621564348E-3</v>
      </c>
    </row>
    <row r="476" spans="19:35" x14ac:dyDescent="0.3">
      <c r="S476" s="6">
        <v>459</v>
      </c>
      <c r="T476" s="4">
        <f t="shared" si="112"/>
        <v>229.5</v>
      </c>
      <c r="U476" s="3">
        <f t="shared" si="113"/>
        <v>-7219492.8128787754</v>
      </c>
      <c r="V476" s="3">
        <f t="shared" si="114"/>
        <v>507853.35335376777</v>
      </c>
      <c r="W476" s="3">
        <f t="shared" si="115"/>
        <v>-29680.637474149935</v>
      </c>
      <c r="X476" s="3">
        <f t="shared" si="116"/>
        <v>2427.1393601349973</v>
      </c>
      <c r="Y476" s="3">
        <f t="shared" si="117"/>
        <v>7224649.7995334547</v>
      </c>
      <c r="Z476" s="3">
        <f t="shared" si="118"/>
        <v>-499139.59367786627</v>
      </c>
      <c r="AA476" s="3">
        <f t="shared" si="119"/>
        <v>7241871.6544741178</v>
      </c>
      <c r="AB476" s="3">
        <f t="shared" si="120"/>
        <v>7184649.7995334547</v>
      </c>
      <c r="AC476" s="3">
        <f t="shared" si="121"/>
        <v>-496639.59367786627</v>
      </c>
      <c r="AD476" s="3">
        <f t="shared" si="122"/>
        <v>7201794.4727647305</v>
      </c>
      <c r="AE476" s="3">
        <f t="shared" si="123"/>
        <v>7199649.7995334547</v>
      </c>
      <c r="AF476" s="3">
        <f t="shared" si="127"/>
        <v>-521639.59367786627</v>
      </c>
      <c r="AG476" s="3">
        <f t="shared" si="124"/>
        <v>7218522.3627564199</v>
      </c>
      <c r="AH476" s="3">
        <f t="shared" si="125"/>
        <v>2.3436741962067478E-2</v>
      </c>
      <c r="AI476" s="3">
        <f t="shared" si="126"/>
        <v>-1.6530594089605552E-3</v>
      </c>
    </row>
    <row r="477" spans="19:35" x14ac:dyDescent="0.3">
      <c r="S477" s="6">
        <v>460</v>
      </c>
      <c r="T477" s="4">
        <f t="shared" si="112"/>
        <v>230</v>
      </c>
      <c r="U477" s="3">
        <f t="shared" si="113"/>
        <v>-7234333.1257566642</v>
      </c>
      <c r="V477" s="3">
        <f t="shared" si="114"/>
        <v>509066.9226205704</v>
      </c>
      <c r="W477" s="3">
        <f t="shared" si="115"/>
        <v>-29675.247023498658</v>
      </c>
      <c r="X477" s="3">
        <f t="shared" si="116"/>
        <v>2426.7591564709364</v>
      </c>
      <c r="Y477" s="3">
        <f t="shared" si="117"/>
        <v>7239492.8128787754</v>
      </c>
      <c r="Z477" s="3">
        <f t="shared" si="118"/>
        <v>-500353.35335376777</v>
      </c>
      <c r="AA477" s="3">
        <f t="shared" si="119"/>
        <v>7256763.0294736652</v>
      </c>
      <c r="AB477" s="3">
        <f t="shared" si="120"/>
        <v>7199492.8128787754</v>
      </c>
      <c r="AC477" s="3">
        <f t="shared" si="121"/>
        <v>-497853.35335376777</v>
      </c>
      <c r="AD477" s="3">
        <f t="shared" si="122"/>
        <v>7216685.8546107393</v>
      </c>
      <c r="AE477" s="3">
        <f t="shared" si="123"/>
        <v>7214492.8128787754</v>
      </c>
      <c r="AF477" s="3">
        <f t="shared" si="127"/>
        <v>-522853.35335376777</v>
      </c>
      <c r="AG477" s="3">
        <f t="shared" si="124"/>
        <v>7233414.2820795765</v>
      </c>
      <c r="AH477" s="3">
        <f t="shared" si="125"/>
        <v>2.3340402824909401E-2</v>
      </c>
      <c r="AI477" s="3">
        <f t="shared" si="126"/>
        <v>-1.6468032552446189E-3</v>
      </c>
    </row>
    <row r="478" spans="19:35" x14ac:dyDescent="0.3">
      <c r="S478" s="6">
        <v>461</v>
      </c>
      <c r="T478" s="4">
        <f t="shared" si="112"/>
        <v>230.5</v>
      </c>
      <c r="U478" s="3">
        <f t="shared" si="113"/>
        <v>-7249170.7434333125</v>
      </c>
      <c r="V478" s="3">
        <f t="shared" si="114"/>
        <v>510280.30178710504</v>
      </c>
      <c r="W478" s="3">
        <f t="shared" si="115"/>
        <v>-29669.867060647517</v>
      </c>
      <c r="X478" s="3">
        <f t="shared" si="116"/>
        <v>2426.3795683206026</v>
      </c>
      <c r="Y478" s="3">
        <f t="shared" si="117"/>
        <v>7254333.1257566642</v>
      </c>
      <c r="Z478" s="3">
        <f t="shared" si="118"/>
        <v>-501566.9226205704</v>
      </c>
      <c r="AA478" s="3">
        <f t="shared" si="119"/>
        <v>7271651.7021456361</v>
      </c>
      <c r="AB478" s="3">
        <f t="shared" si="120"/>
        <v>7214333.1257566642</v>
      </c>
      <c r="AC478" s="3">
        <f t="shared" si="121"/>
        <v>-499066.9226205704</v>
      </c>
      <c r="AD478" s="3">
        <f t="shared" si="122"/>
        <v>7231574.5341276741</v>
      </c>
      <c r="AE478" s="3">
        <f t="shared" si="123"/>
        <v>7229333.1257566642</v>
      </c>
      <c r="AF478" s="3">
        <f t="shared" si="127"/>
        <v>-524066.9226205704</v>
      </c>
      <c r="AG478" s="3">
        <f t="shared" si="124"/>
        <v>7248303.4968568757</v>
      </c>
      <c r="AH478" s="3">
        <f t="shared" si="125"/>
        <v>2.3244673797289096E-2</v>
      </c>
      <c r="AI478" s="3">
        <f t="shared" si="126"/>
        <v>-1.6405835137905903E-3</v>
      </c>
    </row>
    <row r="479" spans="19:35" x14ac:dyDescent="0.3">
      <c r="S479" s="6">
        <v>462</v>
      </c>
      <c r="T479" s="4">
        <f t="shared" si="112"/>
        <v>231</v>
      </c>
      <c r="U479" s="3">
        <f t="shared" si="113"/>
        <v>-7264005.6711524678</v>
      </c>
      <c r="V479" s="3">
        <f t="shared" si="114"/>
        <v>511493.49116111943</v>
      </c>
      <c r="W479" s="3">
        <f t="shared" si="115"/>
        <v>-29664.497541000343</v>
      </c>
      <c r="X479" s="3">
        <f t="shared" si="116"/>
        <v>2426.0005935289169</v>
      </c>
      <c r="Y479" s="3">
        <f t="shared" si="117"/>
        <v>7269170.7434333125</v>
      </c>
      <c r="Z479" s="3">
        <f t="shared" si="118"/>
        <v>-502780.30178710504</v>
      </c>
      <c r="AA479" s="3">
        <f t="shared" si="119"/>
        <v>7286537.677735013</v>
      </c>
      <c r="AB479" s="3">
        <f t="shared" si="120"/>
        <v>7229170.7434333125</v>
      </c>
      <c r="AC479" s="3">
        <f t="shared" si="121"/>
        <v>-500280.30178710504</v>
      </c>
      <c r="AD479" s="3">
        <f t="shared" si="122"/>
        <v>7246460.5165603673</v>
      </c>
      <c r="AE479" s="3">
        <f t="shared" si="123"/>
        <v>7244170.7434333125</v>
      </c>
      <c r="AF479" s="3">
        <f t="shared" si="127"/>
        <v>-525280.30178710504</v>
      </c>
      <c r="AG479" s="3">
        <f t="shared" si="124"/>
        <v>7263190.01234724</v>
      </c>
      <c r="AH479" s="3">
        <f t="shared" si="125"/>
        <v>2.3149549673769303E-2</v>
      </c>
      <c r="AI479" s="3">
        <f t="shared" si="126"/>
        <v>-1.6343999001884873E-3</v>
      </c>
    </row>
    <row r="480" spans="19:35" x14ac:dyDescent="0.3">
      <c r="S480" s="6">
        <v>463</v>
      </c>
      <c r="T480" s="4">
        <f t="shared" si="112"/>
        <v>231.5</v>
      </c>
      <c r="U480" s="3">
        <f t="shared" si="113"/>
        <v>-7278837.9141355809</v>
      </c>
      <c r="V480" s="3">
        <f t="shared" si="114"/>
        <v>512706.49104928394</v>
      </c>
      <c r="W480" s="3">
        <f t="shared" si="115"/>
        <v>-29659.138420250863</v>
      </c>
      <c r="X480" s="3">
        <f t="shared" si="116"/>
        <v>2425.6222299520232</v>
      </c>
      <c r="Y480" s="3">
        <f t="shared" si="117"/>
        <v>7284005.6711524678</v>
      </c>
      <c r="Z480" s="3">
        <f t="shared" si="118"/>
        <v>-503993.49116111943</v>
      </c>
      <c r="AA480" s="3">
        <f t="shared" si="119"/>
        <v>7301420.9614645615</v>
      </c>
      <c r="AB480" s="3">
        <f t="shared" si="120"/>
        <v>7244005.6711524678</v>
      </c>
      <c r="AC480" s="3">
        <f t="shared" si="121"/>
        <v>-501493.49116111943</v>
      </c>
      <c r="AD480" s="3">
        <f t="shared" si="122"/>
        <v>7261343.8071314376</v>
      </c>
      <c r="AE480" s="3">
        <f t="shared" si="123"/>
        <v>7259005.6711524678</v>
      </c>
      <c r="AF480" s="3">
        <f t="shared" si="127"/>
        <v>-526493.49116111943</v>
      </c>
      <c r="AG480" s="3">
        <f t="shared" si="124"/>
        <v>7278073.833787255</v>
      </c>
      <c r="AH480" s="3">
        <f t="shared" si="125"/>
        <v>2.3055025304696865E-2</v>
      </c>
      <c r="AI480" s="3">
        <f t="shared" si="126"/>
        <v>-1.6282521328035192E-3</v>
      </c>
    </row>
    <row r="481" spans="19:35" x14ac:dyDescent="0.3">
      <c r="S481" s="6">
        <v>464</v>
      </c>
      <c r="T481" s="4">
        <f t="shared" si="112"/>
        <v>232</v>
      </c>
      <c r="U481" s="3">
        <f t="shared" si="113"/>
        <v>-7293667.4775819499</v>
      </c>
      <c r="V481" s="3">
        <f t="shared" si="114"/>
        <v>513919.3017571969</v>
      </c>
      <c r="W481" s="3">
        <f t="shared" si="115"/>
        <v>-29653.789654380173</v>
      </c>
      <c r="X481" s="3">
        <f t="shared" si="116"/>
        <v>2425.244475457213</v>
      </c>
      <c r="Y481" s="3">
        <f t="shared" si="117"/>
        <v>7298837.9141355809</v>
      </c>
      <c r="Z481" s="3">
        <f t="shared" si="118"/>
        <v>-505206.49104928394</v>
      </c>
      <c r="AA481" s="3">
        <f t="shared" si="119"/>
        <v>7316301.5585349789</v>
      </c>
      <c r="AB481" s="3">
        <f t="shared" si="120"/>
        <v>7258837.9141355809</v>
      </c>
      <c r="AC481" s="3">
        <f t="shared" si="121"/>
        <v>-502706.49104928394</v>
      </c>
      <c r="AD481" s="3">
        <f t="shared" si="122"/>
        <v>7276224.4110414349</v>
      </c>
      <c r="AE481" s="3">
        <f t="shared" si="123"/>
        <v>7273837.9141355809</v>
      </c>
      <c r="AF481" s="3">
        <f t="shared" si="127"/>
        <v>-527706.49104928388</v>
      </c>
      <c r="AG481" s="3">
        <f t="shared" si="124"/>
        <v>7292954.9663913194</v>
      </c>
      <c r="AH481" s="3">
        <f t="shared" si="125"/>
        <v>2.2961095595484336E-2</v>
      </c>
      <c r="AI481" s="3">
        <f t="shared" si="126"/>
        <v>-1.6221399327437857E-3</v>
      </c>
    </row>
    <row r="482" spans="19:35" x14ac:dyDescent="0.3">
      <c r="S482" s="6">
        <v>465</v>
      </c>
      <c r="T482" s="4">
        <f t="shared" si="112"/>
        <v>232.5</v>
      </c>
      <c r="U482" s="3">
        <f t="shared" si="113"/>
        <v>-7308494.366668866</v>
      </c>
      <c r="V482" s="3">
        <f t="shared" si="114"/>
        <v>515131.92358939053</v>
      </c>
      <c r="W482" s="3">
        <f t="shared" si="115"/>
        <v>-29648.451199654224</v>
      </c>
      <c r="X482" s="3">
        <f t="shared" si="116"/>
        <v>2424.8673279228501</v>
      </c>
      <c r="Y482" s="3">
        <f t="shared" si="117"/>
        <v>7313667.4775819499</v>
      </c>
      <c r="Z482" s="3">
        <f t="shared" si="118"/>
        <v>-506419.3017571969</v>
      </c>
      <c r="AA482" s="3">
        <f t="shared" si="119"/>
        <v>7331179.4741250314</v>
      </c>
      <c r="AB482" s="3">
        <f t="shared" si="120"/>
        <v>7273667.4775819499</v>
      </c>
      <c r="AC482" s="3">
        <f t="shared" si="121"/>
        <v>-503919.3017571969</v>
      </c>
      <c r="AD482" s="3">
        <f t="shared" si="122"/>
        <v>7291102.333468982</v>
      </c>
      <c r="AE482" s="3">
        <f t="shared" si="123"/>
        <v>7288667.4775819499</v>
      </c>
      <c r="AF482" s="3">
        <f t="shared" si="127"/>
        <v>-528919.3017571969</v>
      </c>
      <c r="AG482" s="3">
        <f t="shared" si="124"/>
        <v>7307833.4153517857</v>
      </c>
      <c r="AH482" s="3">
        <f t="shared" si="125"/>
        <v>2.2867755505901519E-2</v>
      </c>
      <c r="AI482" s="3">
        <f t="shared" si="126"/>
        <v>-1.6160630238283517E-3</v>
      </c>
    </row>
    <row r="483" spans="19:35" x14ac:dyDescent="0.3">
      <c r="S483" s="6">
        <v>466</v>
      </c>
      <c r="T483" s="4">
        <f t="shared" si="112"/>
        <v>233</v>
      </c>
      <c r="U483" s="3">
        <f t="shared" si="113"/>
        <v>-7323318.5865517547</v>
      </c>
      <c r="V483" s="3">
        <f t="shared" si="114"/>
        <v>516344.35684933618</v>
      </c>
      <c r="W483" s="3">
        <f t="shared" si="115"/>
        <v>-29643.123012621349</v>
      </c>
      <c r="X483" s="3">
        <f t="shared" si="116"/>
        <v>2424.490785238298</v>
      </c>
      <c r="Y483" s="3">
        <f t="shared" si="117"/>
        <v>7328494.366668866</v>
      </c>
      <c r="Z483" s="3">
        <f t="shared" si="118"/>
        <v>-507631.92358939053</v>
      </c>
      <c r="AA483" s="3">
        <f t="shared" si="119"/>
        <v>7346054.713391697</v>
      </c>
      <c r="AB483" s="3">
        <f t="shared" si="120"/>
        <v>7288494.366668866</v>
      </c>
      <c r="AC483" s="3">
        <f t="shared" si="121"/>
        <v>-505131.92358939053</v>
      </c>
      <c r="AD483" s="3">
        <f t="shared" si="122"/>
        <v>7305977.5795709165</v>
      </c>
      <c r="AE483" s="3">
        <f t="shared" si="123"/>
        <v>7303494.366668866</v>
      </c>
      <c r="AF483" s="3">
        <f t="shared" si="127"/>
        <v>-530131.92358939047</v>
      </c>
      <c r="AG483" s="3">
        <f t="shared" si="124"/>
        <v>7322709.1858391073</v>
      </c>
      <c r="AH483" s="3">
        <f t="shared" si="125"/>
        <v>2.2775000049378408E-2</v>
      </c>
      <c r="AI483" s="3">
        <f t="shared" si="126"/>
        <v>-1.6100211325558004E-3</v>
      </c>
    </row>
    <row r="484" spans="19:35" x14ac:dyDescent="0.3">
      <c r="S484" s="6">
        <v>467</v>
      </c>
      <c r="T484" s="4">
        <f t="shared" si="112"/>
        <v>233.5</v>
      </c>
      <c r="U484" s="3">
        <f t="shared" si="113"/>
        <v>-7338140.1423643148</v>
      </c>
      <c r="V484" s="3">
        <f t="shared" si="114"/>
        <v>517556.60183945007</v>
      </c>
      <c r="W484" s="3">
        <f t="shared" si="115"/>
        <v>-29637.805050109819</v>
      </c>
      <c r="X484" s="3">
        <f t="shared" si="116"/>
        <v>2424.1148453038463</v>
      </c>
      <c r="Y484" s="3">
        <f t="shared" si="117"/>
        <v>7343318.5865517547</v>
      </c>
      <c r="Z484" s="3">
        <f t="shared" si="118"/>
        <v>-508844.35684933618</v>
      </c>
      <c r="AA484" s="3">
        <f t="shared" si="119"/>
        <v>7360927.281470309</v>
      </c>
      <c r="AB484" s="3">
        <f t="shared" si="120"/>
        <v>7303318.5865517547</v>
      </c>
      <c r="AC484" s="3">
        <f t="shared" si="121"/>
        <v>-506344.35684933618</v>
      </c>
      <c r="AD484" s="3">
        <f t="shared" si="122"/>
        <v>7320850.1544824345</v>
      </c>
      <c r="AE484" s="3">
        <f t="shared" si="123"/>
        <v>7318318.5865517547</v>
      </c>
      <c r="AF484" s="3">
        <f t="shared" si="127"/>
        <v>-531344.35684933618</v>
      </c>
      <c r="AG484" s="3">
        <f t="shared" si="124"/>
        <v>7337582.283001977</v>
      </c>
      <c r="AH484" s="3">
        <f t="shared" si="125"/>
        <v>2.2682824292316994E-2</v>
      </c>
      <c r="AI484" s="3">
        <f t="shared" si="126"/>
        <v>-1.604013988073106E-3</v>
      </c>
    </row>
    <row r="485" spans="19:35" x14ac:dyDescent="0.3">
      <c r="S485" s="6">
        <v>468</v>
      </c>
      <c r="T485" s="4">
        <f t="shared" si="112"/>
        <v>234</v>
      </c>
      <c r="U485" s="3">
        <f t="shared" si="113"/>
        <v>-7352959.0392186642</v>
      </c>
      <c r="V485" s="3">
        <f t="shared" si="114"/>
        <v>518768.65886109846</v>
      </c>
      <c r="W485" s="3">
        <f t="shared" si="115"/>
        <v>-29632.497269225416</v>
      </c>
      <c r="X485" s="3">
        <f t="shared" si="116"/>
        <v>2423.7395060306371</v>
      </c>
      <c r="Y485" s="3">
        <f t="shared" si="117"/>
        <v>7358140.1423643148</v>
      </c>
      <c r="Z485" s="3">
        <f t="shared" si="118"/>
        <v>-510056.60183945007</v>
      </c>
      <c r="AA485" s="3">
        <f t="shared" si="119"/>
        <v>7375797.1834746888</v>
      </c>
      <c r="AB485" s="3">
        <f t="shared" si="120"/>
        <v>7318140.1423643148</v>
      </c>
      <c r="AC485" s="3">
        <f t="shared" si="121"/>
        <v>-507556.60183945007</v>
      </c>
      <c r="AD485" s="3">
        <f t="shared" si="122"/>
        <v>7335720.0633172207</v>
      </c>
      <c r="AE485" s="3">
        <f t="shared" si="123"/>
        <v>7333140.1423643148</v>
      </c>
      <c r="AF485" s="3">
        <f t="shared" si="127"/>
        <v>-532556.60183945007</v>
      </c>
      <c r="AG485" s="3">
        <f t="shared" si="124"/>
        <v>7352452.7119674627</v>
      </c>
      <c r="AH485" s="3">
        <f t="shared" si="125"/>
        <v>2.2591223353415492E-2</v>
      </c>
      <c r="AI485" s="3">
        <f t="shared" si="126"/>
        <v>-1.5980413221450681E-3</v>
      </c>
    </row>
    <row r="486" spans="19:35" x14ac:dyDescent="0.3">
      <c r="S486" s="6">
        <v>469</v>
      </c>
      <c r="T486" s="4">
        <f t="shared" si="112"/>
        <v>234.5</v>
      </c>
      <c r="U486" s="3">
        <f t="shared" si="113"/>
        <v>-7367775.2822054718</v>
      </c>
      <c r="V486" s="3">
        <f t="shared" si="114"/>
        <v>519980.52821460349</v>
      </c>
      <c r="W486" s="3">
        <f t="shared" si="115"/>
        <v>-29627.19962734904</v>
      </c>
      <c r="X486" s="3">
        <f t="shared" si="116"/>
        <v>2423.3647653405942</v>
      </c>
      <c r="Y486" s="3">
        <f t="shared" si="117"/>
        <v>7372959.0392186642</v>
      </c>
      <c r="Z486" s="3">
        <f t="shared" si="118"/>
        <v>-511268.65886109846</v>
      </c>
      <c r="AA486" s="3">
        <f t="shared" si="119"/>
        <v>7390664.4244972887</v>
      </c>
      <c r="AB486" s="3">
        <f t="shared" si="120"/>
        <v>7332959.0392186642</v>
      </c>
      <c r="AC486" s="3">
        <f t="shared" si="121"/>
        <v>-508768.65886109846</v>
      </c>
      <c r="AD486" s="3">
        <f t="shared" si="122"/>
        <v>7350587.3111675931</v>
      </c>
      <c r="AE486" s="3">
        <f t="shared" si="123"/>
        <v>7347959.0392186642</v>
      </c>
      <c r="AF486" s="3">
        <f t="shared" si="127"/>
        <v>-533768.65886109846</v>
      </c>
      <c r="AG486" s="3">
        <f t="shared" si="124"/>
        <v>7367320.4778411565</v>
      </c>
      <c r="AH486" s="3">
        <f t="shared" si="125"/>
        <v>2.2500192403001253E-2</v>
      </c>
      <c r="AI486" s="3">
        <f t="shared" si="126"/>
        <v>-1.5921028691240565E-3</v>
      </c>
    </row>
    <row r="487" spans="19:35" x14ac:dyDescent="0.3">
      <c r="S487" s="6">
        <v>470</v>
      </c>
      <c r="T487" s="4">
        <f t="shared" si="112"/>
        <v>235</v>
      </c>
      <c r="U487" s="3">
        <f t="shared" si="113"/>
        <v>-7382588.8763940986</v>
      </c>
      <c r="V487" s="3">
        <f t="shared" si="114"/>
        <v>521192.21019924805</v>
      </c>
      <c r="W487" s="3">
        <f t="shared" si="115"/>
        <v>-29621.912082134335</v>
      </c>
      <c r="X487" s="3">
        <f t="shared" si="116"/>
        <v>2422.9906211663501</v>
      </c>
      <c r="Y487" s="3">
        <f t="shared" si="117"/>
        <v>7387775.2822054718</v>
      </c>
      <c r="Z487" s="3">
        <f t="shared" si="118"/>
        <v>-512480.52821460349</v>
      </c>
      <c r="AA487" s="3">
        <f t="shared" si="119"/>
        <v>7405529.0096093239</v>
      </c>
      <c r="AB487" s="3">
        <f t="shared" si="120"/>
        <v>7347775.2822054718</v>
      </c>
      <c r="AC487" s="3">
        <f t="shared" si="121"/>
        <v>-509980.52821460349</v>
      </c>
      <c r="AD487" s="3">
        <f t="shared" si="122"/>
        <v>7365451.9031046387</v>
      </c>
      <c r="AE487" s="3">
        <f t="shared" si="123"/>
        <v>7362775.2822054718</v>
      </c>
      <c r="AF487" s="3">
        <f t="shared" si="127"/>
        <v>-534980.52821460343</v>
      </c>
      <c r="AG487" s="3">
        <f t="shared" si="124"/>
        <v>7382185.5857073003</v>
      </c>
      <c r="AH487" s="3">
        <f t="shared" si="125"/>
        <v>2.2409726662373688E-2</v>
      </c>
      <c r="AI487" s="3">
        <f t="shared" si="126"/>
        <v>-1.5861983659201748E-3</v>
      </c>
    </row>
    <row r="488" spans="19:35" x14ac:dyDescent="0.3">
      <c r="S488" s="6">
        <v>471</v>
      </c>
      <c r="T488" s="4">
        <f t="shared" si="112"/>
        <v>235.5</v>
      </c>
      <c r="U488" s="3">
        <f t="shared" si="113"/>
        <v>-7397399.826832734</v>
      </c>
      <c r="V488" s="3">
        <f t="shared" si="114"/>
        <v>522403.70511328161</v>
      </c>
      <c r="W488" s="3">
        <f t="shared" si="115"/>
        <v>-29616.634591505346</v>
      </c>
      <c r="X488" s="3">
        <f t="shared" si="116"/>
        <v>2422.6170714511759</v>
      </c>
      <c r="Y488" s="3">
        <f t="shared" si="117"/>
        <v>7402588.8763940986</v>
      </c>
      <c r="Z488" s="3">
        <f t="shared" si="118"/>
        <v>-513692.21019924805</v>
      </c>
      <c r="AA488" s="3">
        <f t="shared" si="119"/>
        <v>7420390.9438609118</v>
      </c>
      <c r="AB488" s="3">
        <f t="shared" si="120"/>
        <v>7362588.8763940986</v>
      </c>
      <c r="AC488" s="3">
        <f t="shared" si="121"/>
        <v>-511192.21019924805</v>
      </c>
      <c r="AD488" s="3">
        <f t="shared" si="122"/>
        <v>7380313.8441783432</v>
      </c>
      <c r="AE488" s="3">
        <f t="shared" si="123"/>
        <v>7377588.8763940986</v>
      </c>
      <c r="AF488" s="3">
        <f t="shared" si="127"/>
        <v>-536192.21019924805</v>
      </c>
      <c r="AG488" s="3">
        <f t="shared" si="124"/>
        <v>7397048.0406289296</v>
      </c>
      <c r="AH488" s="3">
        <f t="shared" si="125"/>
        <v>2.2319821403157414E-2</v>
      </c>
      <c r="AI488" s="3">
        <f t="shared" si="126"/>
        <v>-1.5803275519718396E-3</v>
      </c>
    </row>
    <row r="489" spans="19:35" x14ac:dyDescent="0.3">
      <c r="S489" s="6">
        <v>472</v>
      </c>
      <c r="T489" s="4">
        <f t="shared" si="112"/>
        <v>236</v>
      </c>
      <c r="U489" s="3">
        <f t="shared" si="113"/>
        <v>-7412208.1385485316</v>
      </c>
      <c r="V489" s="3">
        <f t="shared" si="114"/>
        <v>523615.01325392531</v>
      </c>
      <c r="W489" s="3">
        <f t="shared" si="115"/>
        <v>-29611.3671136542</v>
      </c>
      <c r="X489" s="3">
        <f t="shared" si="116"/>
        <v>2422.2441141489107</v>
      </c>
      <c r="Y489" s="3">
        <f t="shared" si="117"/>
        <v>7417399.826832734</v>
      </c>
      <c r="Z489" s="3">
        <f t="shared" si="118"/>
        <v>-514903.70511328161</v>
      </c>
      <c r="AA489" s="3">
        <f t="shared" si="119"/>
        <v>7435250.2322812015</v>
      </c>
      <c r="AB489" s="3">
        <f t="shared" si="120"/>
        <v>7377399.826832734</v>
      </c>
      <c r="AC489" s="3">
        <f t="shared" si="121"/>
        <v>-512403.70511328161</v>
      </c>
      <c r="AD489" s="3">
        <f t="shared" si="122"/>
        <v>7395173.1394177293</v>
      </c>
      <c r="AE489" s="3">
        <f t="shared" si="123"/>
        <v>7392399.826832734</v>
      </c>
      <c r="AF489" s="3">
        <f t="shared" si="127"/>
        <v>-537403.70511328161</v>
      </c>
      <c r="AG489" s="3">
        <f t="shared" si="124"/>
        <v>7411907.8476480078</v>
      </c>
      <c r="AH489" s="3">
        <f t="shared" si="125"/>
        <v>2.2230471946665154E-2</v>
      </c>
      <c r="AI489" s="3">
        <f t="shared" si="126"/>
        <v>-1.5744901692167803E-3</v>
      </c>
    </row>
    <row r="490" spans="19:35" x14ac:dyDescent="0.3">
      <c r="S490" s="6">
        <v>473</v>
      </c>
      <c r="T490" s="4">
        <f t="shared" si="112"/>
        <v>236.5</v>
      </c>
      <c r="U490" s="3">
        <f t="shared" si="113"/>
        <v>-7427013.8165477403</v>
      </c>
      <c r="V490" s="3">
        <f t="shared" si="114"/>
        <v>524826.13491737726</v>
      </c>
      <c r="W490" s="3">
        <f t="shared" si="115"/>
        <v>-29606.109607038812</v>
      </c>
      <c r="X490" s="3">
        <f t="shared" si="116"/>
        <v>2421.8717472238909</v>
      </c>
      <c r="Y490" s="3">
        <f t="shared" si="117"/>
        <v>7432208.1385485316</v>
      </c>
      <c r="Z490" s="3">
        <f t="shared" si="118"/>
        <v>-516115.01325392531</v>
      </c>
      <c r="AA490" s="3">
        <f t="shared" si="119"/>
        <v>7450106.8798785117</v>
      </c>
      <c r="AB490" s="3">
        <f t="shared" si="120"/>
        <v>7392208.1385485316</v>
      </c>
      <c r="AC490" s="3">
        <f t="shared" si="121"/>
        <v>-513615.01325392531</v>
      </c>
      <c r="AD490" s="3">
        <f t="shared" si="122"/>
        <v>7410029.7938309917</v>
      </c>
      <c r="AE490" s="3">
        <f t="shared" si="123"/>
        <v>7407208.1385485316</v>
      </c>
      <c r="AF490" s="3">
        <f t="shared" si="127"/>
        <v>-538615.01325392537</v>
      </c>
      <c r="AG490" s="3">
        <f t="shared" si="124"/>
        <v>7426765.0117855566</v>
      </c>
      <c r="AH490" s="3">
        <f t="shared" si="125"/>
        <v>2.2141673663268833E-2</v>
      </c>
      <c r="AI490" s="3">
        <f t="shared" si="126"/>
        <v>-1.5686859620633242E-3</v>
      </c>
    </row>
    <row r="491" spans="19:35" x14ac:dyDescent="0.3">
      <c r="S491" s="6">
        <v>474</v>
      </c>
      <c r="T491" s="4">
        <f t="shared" si="112"/>
        <v>237</v>
      </c>
      <c r="U491" s="3">
        <f t="shared" si="113"/>
        <v>-7441816.8658158416</v>
      </c>
      <c r="V491" s="3">
        <f t="shared" si="114"/>
        <v>526037.07039881777</v>
      </c>
      <c r="W491" s="3">
        <f t="shared" si="115"/>
        <v>-29600.862030380616</v>
      </c>
      <c r="X491" s="3">
        <f t="shared" si="116"/>
        <v>2421.4999686508818</v>
      </c>
      <c r="Y491" s="3">
        <f t="shared" si="117"/>
        <v>7447013.8165477403</v>
      </c>
      <c r="Z491" s="3">
        <f t="shared" si="118"/>
        <v>-517326.13491737726</v>
      </c>
      <c r="AA491" s="3">
        <f t="shared" si="119"/>
        <v>7464960.8916404573</v>
      </c>
      <c r="AB491" s="3">
        <f t="shared" si="120"/>
        <v>7407013.8165477403</v>
      </c>
      <c r="AC491" s="3">
        <f t="shared" si="121"/>
        <v>-514826.13491737726</v>
      </c>
      <c r="AD491" s="3">
        <f t="shared" si="122"/>
        <v>7424883.8124056244</v>
      </c>
      <c r="AE491" s="3">
        <f t="shared" si="123"/>
        <v>7422013.8165477403</v>
      </c>
      <c r="AF491" s="3">
        <f t="shared" si="127"/>
        <v>-539826.13491737726</v>
      </c>
      <c r="AG491" s="3">
        <f t="shared" si="124"/>
        <v>7441619.5380417956</v>
      </c>
      <c r="AH491" s="3">
        <f t="shared" si="125"/>
        <v>2.2053421971781905E-2</v>
      </c>
      <c r="AI491" s="3">
        <f t="shared" si="126"/>
        <v>-1.5629146773622105E-3</v>
      </c>
    </row>
    <row r="492" spans="19:35" x14ac:dyDescent="0.3">
      <c r="S492" s="6">
        <v>475</v>
      </c>
      <c r="T492" s="4">
        <f t="shared" si="112"/>
        <v>237.5</v>
      </c>
      <c r="U492" s="3">
        <f t="shared" si="113"/>
        <v>-7456617.2913176771</v>
      </c>
      <c r="V492" s="3">
        <f t="shared" si="114"/>
        <v>527247.81999241456</v>
      </c>
      <c r="W492" s="3">
        <f t="shared" si="115"/>
        <v>-29595.624342662319</v>
      </c>
      <c r="X492" s="3">
        <f t="shared" si="116"/>
        <v>2421.1287764150084</v>
      </c>
      <c r="Y492" s="3">
        <f t="shared" si="117"/>
        <v>7461816.8658158416</v>
      </c>
      <c r="Z492" s="3">
        <f t="shared" si="118"/>
        <v>-518537.07039881777</v>
      </c>
      <c r="AA492" s="3">
        <f t="shared" si="119"/>
        <v>7479812.2725340864</v>
      </c>
      <c r="AB492" s="3">
        <f t="shared" si="120"/>
        <v>7421816.8658158416</v>
      </c>
      <c r="AC492" s="3">
        <f t="shared" si="121"/>
        <v>-516037.07039881777</v>
      </c>
      <c r="AD492" s="3">
        <f t="shared" si="122"/>
        <v>7439735.2001085551</v>
      </c>
      <c r="AE492" s="3">
        <f t="shared" si="123"/>
        <v>7436816.8658158416</v>
      </c>
      <c r="AF492" s="3">
        <f t="shared" si="127"/>
        <v>-541037.07039881777</v>
      </c>
      <c r="AG492" s="3">
        <f t="shared" si="124"/>
        <v>7456471.4313962674</v>
      </c>
      <c r="AH492" s="3">
        <f t="shared" si="125"/>
        <v>2.1965712338848524E-2</v>
      </c>
      <c r="AI492" s="3">
        <f t="shared" si="126"/>
        <v>-1.5571760643786092E-3</v>
      </c>
    </row>
    <row r="493" spans="19:35" x14ac:dyDescent="0.3">
      <c r="S493" s="6">
        <v>476</v>
      </c>
      <c r="T493" s="4">
        <f t="shared" si="112"/>
        <v>238</v>
      </c>
      <c r="U493" s="3">
        <f t="shared" si="113"/>
        <v>-7471415.0979975807</v>
      </c>
      <c r="V493" s="3">
        <f t="shared" si="114"/>
        <v>528458.38399132807</v>
      </c>
      <c r="W493" s="3">
        <f t="shared" si="115"/>
        <v>-29590.396503125674</v>
      </c>
      <c r="X493" s="3">
        <f t="shared" si="116"/>
        <v>2420.7581685116861</v>
      </c>
      <c r="Y493" s="3">
        <f t="shared" si="117"/>
        <v>7476617.2913176771</v>
      </c>
      <c r="Z493" s="3">
        <f t="shared" si="118"/>
        <v>-519747.81999241456</v>
      </c>
      <c r="AA493" s="3">
        <f t="shared" si="119"/>
        <v>7494661.0275060032</v>
      </c>
      <c r="AB493" s="3">
        <f t="shared" si="120"/>
        <v>7436617.2913176771</v>
      </c>
      <c r="AC493" s="3">
        <f t="shared" si="121"/>
        <v>-517247.81999241456</v>
      </c>
      <c r="AD493" s="3">
        <f t="shared" si="122"/>
        <v>7454583.9618862681</v>
      </c>
      <c r="AE493" s="3">
        <f t="shared" si="123"/>
        <v>7451617.2913176771</v>
      </c>
      <c r="AF493" s="3">
        <f t="shared" si="127"/>
        <v>-542247.81999241456</v>
      </c>
      <c r="AG493" s="3">
        <f t="shared" si="124"/>
        <v>7471320.6968079694</v>
      </c>
      <c r="AH493" s="3">
        <f t="shared" si="125"/>
        <v>2.1878540278343954E-2</v>
      </c>
      <c r="AI493" s="3">
        <f t="shared" si="126"/>
        <v>-1.5514698747646793E-3</v>
      </c>
    </row>
    <row r="494" spans="19:35" x14ac:dyDescent="0.3">
      <c r="S494" s="6">
        <v>477</v>
      </c>
      <c r="T494" s="4">
        <f t="shared" si="112"/>
        <v>238.5</v>
      </c>
      <c r="U494" s="3">
        <f t="shared" si="113"/>
        <v>-7486210.2907795087</v>
      </c>
      <c r="V494" s="3">
        <f t="shared" si="114"/>
        <v>529668.76268771652</v>
      </c>
      <c r="W494" s="3">
        <f t="shared" si="115"/>
        <v>-29585.17847126929</v>
      </c>
      <c r="X494" s="3">
        <f t="shared" si="116"/>
        <v>2420.3881429465546</v>
      </c>
      <c r="Y494" s="3">
        <f t="shared" si="117"/>
        <v>7491415.0979975807</v>
      </c>
      <c r="Z494" s="3">
        <f t="shared" si="118"/>
        <v>-520958.38399132807</v>
      </c>
      <c r="AA494" s="3">
        <f t="shared" si="119"/>
        <v>7509507.1614825008</v>
      </c>
      <c r="AB494" s="3">
        <f t="shared" si="120"/>
        <v>7451415.0979975807</v>
      </c>
      <c r="AC494" s="3">
        <f t="shared" si="121"/>
        <v>-518458.38399132807</v>
      </c>
      <c r="AD494" s="3">
        <f t="shared" si="122"/>
        <v>7469430.102664941</v>
      </c>
      <c r="AE494" s="3">
        <f t="shared" si="123"/>
        <v>7466415.0979975807</v>
      </c>
      <c r="AF494" s="3">
        <f t="shared" si="127"/>
        <v>-543458.38399132807</v>
      </c>
      <c r="AG494" s="3">
        <f t="shared" si="124"/>
        <v>7486167.3392154872</v>
      </c>
      <c r="AH494" s="3">
        <f t="shared" si="125"/>
        <v>2.1791901350781941E-2</v>
      </c>
      <c r="AI494" s="3">
        <f t="shared" si="126"/>
        <v>-1.5457958625323545E-3</v>
      </c>
    </row>
    <row r="495" spans="19:35" x14ac:dyDescent="0.3">
      <c r="S495" s="6">
        <v>478</v>
      </c>
      <c r="T495" s="4">
        <f t="shared" si="112"/>
        <v>239</v>
      </c>
      <c r="U495" s="3">
        <f t="shared" si="113"/>
        <v>-7501002.8745671678</v>
      </c>
      <c r="V495" s="3">
        <f t="shared" si="114"/>
        <v>530878.95637274091</v>
      </c>
      <c r="W495" s="3">
        <f t="shared" si="115"/>
        <v>-29579.970206846454</v>
      </c>
      <c r="X495" s="3">
        <f t="shared" si="116"/>
        <v>2420.0186977354092</v>
      </c>
      <c r="Y495" s="3">
        <f t="shared" si="117"/>
        <v>7506210.2907795087</v>
      </c>
      <c r="Z495" s="3">
        <f t="shared" si="118"/>
        <v>-522168.76268771652</v>
      </c>
      <c r="AA495" s="3">
        <f t="shared" si="119"/>
        <v>7524350.6793696834</v>
      </c>
      <c r="AB495" s="3">
        <f t="shared" si="120"/>
        <v>7466210.2907795087</v>
      </c>
      <c r="AC495" s="3">
        <f t="shared" si="121"/>
        <v>-519668.76268771652</v>
      </c>
      <c r="AD495" s="3">
        <f t="shared" si="122"/>
        <v>7484273.6273505669</v>
      </c>
      <c r="AE495" s="3">
        <f t="shared" si="123"/>
        <v>7481210.2907795087</v>
      </c>
      <c r="AF495" s="3">
        <f t="shared" si="127"/>
        <v>-544668.76268771652</v>
      </c>
      <c r="AG495" s="3">
        <f t="shared" si="124"/>
        <v>7501011.3635371188</v>
      </c>
      <c r="AH495" s="3">
        <f t="shared" si="125"/>
        <v>2.1705791162731948E-2</v>
      </c>
      <c r="AI495" s="3">
        <f t="shared" si="126"/>
        <v>-1.5401537840265709E-3</v>
      </c>
    </row>
    <row r="496" spans="19:35" x14ac:dyDescent="0.3">
      <c r="S496" s="6">
        <v>479</v>
      </c>
      <c r="T496" s="4">
        <f t="shared" si="112"/>
        <v>239.5</v>
      </c>
      <c r="U496" s="3">
        <f t="shared" si="113"/>
        <v>-7515792.8542441428</v>
      </c>
      <c r="V496" s="3">
        <f t="shared" si="114"/>
        <v>532088.96533657017</v>
      </c>
      <c r="W496" s="3">
        <f t="shared" si="115"/>
        <v>-29574.771669862981</v>
      </c>
      <c r="X496" s="3">
        <f t="shared" si="116"/>
        <v>2419.6498309041349</v>
      </c>
      <c r="Y496" s="3">
        <f t="shared" si="117"/>
        <v>7521002.8745671678</v>
      </c>
      <c r="Z496" s="3">
        <f t="shared" si="118"/>
        <v>-523378.95637274091</v>
      </c>
      <c r="AA496" s="3">
        <f t="shared" si="119"/>
        <v>7539191.5860536015</v>
      </c>
      <c r="AB496" s="3">
        <f t="shared" si="120"/>
        <v>7481002.8745671678</v>
      </c>
      <c r="AC496" s="3">
        <f t="shared" si="121"/>
        <v>-520878.95637274091</v>
      </c>
      <c r="AD496" s="3">
        <f t="shared" si="122"/>
        <v>7499114.540829082</v>
      </c>
      <c r="AE496" s="3">
        <f t="shared" si="123"/>
        <v>7496002.8745671678</v>
      </c>
      <c r="AF496" s="3">
        <f t="shared" si="127"/>
        <v>-545878.95637274091</v>
      </c>
      <c r="AG496" s="3">
        <f t="shared" si="124"/>
        <v>7515852.7746710042</v>
      </c>
      <c r="AH496" s="3">
        <f t="shared" si="125"/>
        <v>2.1620205366243955E-2</v>
      </c>
      <c r="AI496" s="3">
        <f t="shared" si="126"/>
        <v>-1.5345433978987846E-3</v>
      </c>
    </row>
    <row r="497" spans="19:35" x14ac:dyDescent="0.3">
      <c r="S497" s="6">
        <v>480</v>
      </c>
      <c r="T497" s="4">
        <f t="shared" si="112"/>
        <v>240</v>
      </c>
      <c r="U497" s="3">
        <f t="shared" si="113"/>
        <v>-7530580.2346740225</v>
      </c>
      <c r="V497" s="3">
        <f t="shared" si="114"/>
        <v>533298.78986838635</v>
      </c>
      <c r="W497" s="3">
        <f t="shared" si="115"/>
        <v>-29569.582820575084</v>
      </c>
      <c r="X497" s="3">
        <f t="shared" si="116"/>
        <v>2419.2815404886392</v>
      </c>
      <c r="Y497" s="3">
        <f t="shared" si="117"/>
        <v>7535792.8542441428</v>
      </c>
      <c r="Z497" s="3">
        <f t="shared" si="118"/>
        <v>-524588.96533657017</v>
      </c>
      <c r="AA497" s="3">
        <f t="shared" si="119"/>
        <v>7554029.886400369</v>
      </c>
      <c r="AB497" s="3">
        <f t="shared" si="120"/>
        <v>7495792.8542441428</v>
      </c>
      <c r="AC497" s="3">
        <f t="shared" si="121"/>
        <v>-522088.96533657017</v>
      </c>
      <c r="AD497" s="3">
        <f t="shared" si="122"/>
        <v>7513952.8479664922</v>
      </c>
      <c r="AE497" s="3">
        <f t="shared" si="123"/>
        <v>7510792.8542441428</v>
      </c>
      <c r="AF497" s="3">
        <f t="shared" si="127"/>
        <v>-547088.96533657017</v>
      </c>
      <c r="AG497" s="3">
        <f t="shared" si="124"/>
        <v>7530691.5774952509</v>
      </c>
      <c r="AH497" s="3">
        <f t="shared" si="125"/>
        <v>2.1535139658282753E-2</v>
      </c>
      <c r="AI497" s="3">
        <f t="shared" si="126"/>
        <v>-1.5289644650809129E-3</v>
      </c>
    </row>
    <row r="498" spans="19:35" x14ac:dyDescent="0.3">
      <c r="S498" s="6">
        <v>481</v>
      </c>
      <c r="T498" s="4">
        <f t="shared" si="112"/>
        <v>240.5</v>
      </c>
      <c r="U498" s="3">
        <f t="shared" si="113"/>
        <v>-7545365.0207005255</v>
      </c>
      <c r="V498" s="3">
        <f t="shared" si="114"/>
        <v>534508.43025638955</v>
      </c>
      <c r="W498" s="3">
        <f t="shared" si="115"/>
        <v>-29564.403619487268</v>
      </c>
      <c r="X498" s="3">
        <f t="shared" si="116"/>
        <v>2418.9138245347872</v>
      </c>
      <c r="Y498" s="3">
        <f t="shared" si="117"/>
        <v>7550580.2346740225</v>
      </c>
      <c r="Z498" s="3">
        <f t="shared" si="118"/>
        <v>-525798.78986838635</v>
      </c>
      <c r="AA498" s="3">
        <f t="shared" si="119"/>
        <v>7568865.5852562925</v>
      </c>
      <c r="AB498" s="3">
        <f t="shared" si="120"/>
        <v>7510580.2346740225</v>
      </c>
      <c r="AC498" s="3">
        <f t="shared" si="121"/>
        <v>-523298.78986838635</v>
      </c>
      <c r="AD498" s="3">
        <f t="shared" si="122"/>
        <v>7528788.553608994</v>
      </c>
      <c r="AE498" s="3">
        <f t="shared" si="123"/>
        <v>7525580.2346740225</v>
      </c>
      <c r="AF498" s="3">
        <f t="shared" si="127"/>
        <v>-548298.78986838635</v>
      </c>
      <c r="AG498" s="3">
        <f t="shared" si="124"/>
        <v>7545527.7768680602</v>
      </c>
      <c r="AH498" s="3">
        <f t="shared" si="125"/>
        <v>2.1450589780169407E-2</v>
      </c>
      <c r="AI498" s="3">
        <f t="shared" si="126"/>
        <v>-1.5234167487595423E-3</v>
      </c>
    </row>
    <row r="499" spans="19:35" x14ac:dyDescent="0.3">
      <c r="S499" s="6">
        <v>482</v>
      </c>
      <c r="T499" s="4">
        <f t="shared" si="112"/>
        <v>241</v>
      </c>
      <c r="U499" s="3">
        <f t="shared" si="113"/>
        <v>-7560147.2171476213</v>
      </c>
      <c r="V499" s="3">
        <f t="shared" si="114"/>
        <v>535717.88678780268</v>
      </c>
      <c r="W499" s="3">
        <f t="shared" si="115"/>
        <v>-29559.234027350249</v>
      </c>
      <c r="X499" s="3">
        <f t="shared" si="116"/>
        <v>2418.5466810983362</v>
      </c>
      <c r="Y499" s="3">
        <f t="shared" si="117"/>
        <v>7565365.0207005255</v>
      </c>
      <c r="Z499" s="3">
        <f t="shared" si="118"/>
        <v>-527008.43025638955</v>
      </c>
      <c r="AA499" s="3">
        <f t="shared" si="119"/>
        <v>7583698.6874479903</v>
      </c>
      <c r="AB499" s="3">
        <f t="shared" si="120"/>
        <v>7525365.0207005255</v>
      </c>
      <c r="AC499" s="3">
        <f t="shared" si="121"/>
        <v>-524508.43025638955</v>
      </c>
      <c r="AD499" s="3">
        <f t="shared" si="122"/>
        <v>7543621.6625831025</v>
      </c>
      <c r="AE499" s="3">
        <f t="shared" si="123"/>
        <v>7540365.0207005255</v>
      </c>
      <c r="AF499" s="3">
        <f t="shared" si="127"/>
        <v>-549508.43025638955</v>
      </c>
      <c r="AG499" s="3">
        <f t="shared" si="124"/>
        <v>7560361.3776278505</v>
      </c>
      <c r="AH499" s="3">
        <f t="shared" si="125"/>
        <v>2.1366551517031263E-2</v>
      </c>
      <c r="AI499" s="3">
        <f t="shared" si="126"/>
        <v>-1.5179000143505073E-3</v>
      </c>
    </row>
    <row r="500" spans="19:35" x14ac:dyDescent="0.3">
      <c r="S500" s="6">
        <v>483</v>
      </c>
      <c r="T500" s="4">
        <f t="shared" si="112"/>
        <v>241.5</v>
      </c>
      <c r="U500" s="3">
        <f t="shared" si="113"/>
        <v>-7574926.8288196586</v>
      </c>
      <c r="V500" s="3">
        <f t="shared" si="114"/>
        <v>536927.15974887693</v>
      </c>
      <c r="W500" s="3">
        <f t="shared" si="115"/>
        <v>-29554.074005158887</v>
      </c>
      <c r="X500" s="3">
        <f t="shared" si="116"/>
        <v>2418.1801082448706</v>
      </c>
      <c r="Y500" s="3">
        <f t="shared" si="117"/>
        <v>7580147.2171476213</v>
      </c>
      <c r="Z500" s="3">
        <f t="shared" si="118"/>
        <v>-528217.88678780268</v>
      </c>
      <c r="AA500" s="3">
        <f t="shared" si="119"/>
        <v>7598529.1977825155</v>
      </c>
      <c r="AB500" s="3">
        <f t="shared" si="120"/>
        <v>7540147.2171476213</v>
      </c>
      <c r="AC500" s="3">
        <f t="shared" si="121"/>
        <v>-525717.88678780268</v>
      </c>
      <c r="AD500" s="3">
        <f t="shared" si="122"/>
        <v>7558452.1796957646</v>
      </c>
      <c r="AE500" s="3">
        <f t="shared" si="123"/>
        <v>7555147.2171476213</v>
      </c>
      <c r="AF500" s="3">
        <f t="shared" si="127"/>
        <v>-550717.88678780268</v>
      </c>
      <c r="AG500" s="3">
        <f t="shared" si="124"/>
        <v>7575192.384593375</v>
      </c>
      <c r="AH500" s="3">
        <f t="shared" si="125"/>
        <v>2.1283020697260166E-2</v>
      </c>
      <c r="AI500" s="3">
        <f t="shared" si="126"/>
        <v>-1.5124140294738159E-3</v>
      </c>
    </row>
    <row r="501" spans="19:35" x14ac:dyDescent="0.3">
      <c r="S501" s="6">
        <v>484</v>
      </c>
      <c r="T501" s="4">
        <f t="shared" si="112"/>
        <v>242</v>
      </c>
      <c r="U501" s="3">
        <f t="shared" si="113"/>
        <v>-7589703.8605014831</v>
      </c>
      <c r="V501" s="3">
        <f t="shared" si="114"/>
        <v>538136.24942489585</v>
      </c>
      <c r="W501" s="3">
        <f t="shared" si="115"/>
        <v>-29548.923514150149</v>
      </c>
      <c r="X501" s="3">
        <f t="shared" si="116"/>
        <v>2417.814104049738</v>
      </c>
      <c r="Y501" s="3">
        <f t="shared" si="117"/>
        <v>7594926.8288196586</v>
      </c>
      <c r="Z501" s="3">
        <f t="shared" si="118"/>
        <v>-529427.15974887693</v>
      </c>
      <c r="AA501" s="3">
        <f t="shared" si="119"/>
        <v>7613357.1210474819</v>
      </c>
      <c r="AB501" s="3">
        <f t="shared" si="120"/>
        <v>7554926.8288196586</v>
      </c>
      <c r="AC501" s="3">
        <f t="shared" si="121"/>
        <v>-526927.15974887693</v>
      </c>
      <c r="AD501" s="3">
        <f t="shared" si="122"/>
        <v>7573280.1097344924</v>
      </c>
      <c r="AE501" s="3">
        <f t="shared" si="123"/>
        <v>7569926.8288196586</v>
      </c>
      <c r="AF501" s="3">
        <f t="shared" si="127"/>
        <v>-551927.15974887693</v>
      </c>
      <c r="AG501" s="3">
        <f t="shared" si="124"/>
        <v>7590020.8025638582</v>
      </c>
      <c r="AH501" s="3">
        <f t="shared" si="125"/>
        <v>2.1199993191978156E-2</v>
      </c>
      <c r="AI501" s="3">
        <f t="shared" si="126"/>
        <v>-1.5069585639288802E-3</v>
      </c>
    </row>
    <row r="502" spans="19:35" x14ac:dyDescent="0.3">
      <c r="S502" s="6">
        <v>485</v>
      </c>
      <c r="T502" s="4">
        <f t="shared" si="112"/>
        <v>242.5</v>
      </c>
      <c r="U502" s="3">
        <f t="shared" si="113"/>
        <v>-7604478.3169585597</v>
      </c>
      <c r="V502" s="3">
        <f t="shared" si="114"/>
        <v>539345.15610018105</v>
      </c>
      <c r="W502" s="3">
        <f t="shared" si="115"/>
        <v>-29543.782515801093</v>
      </c>
      <c r="X502" s="3">
        <f t="shared" si="116"/>
        <v>2417.4486665979853</v>
      </c>
      <c r="Y502" s="3">
        <f t="shared" si="117"/>
        <v>7609703.8605014831</v>
      </c>
      <c r="Z502" s="3">
        <f t="shared" si="118"/>
        <v>-530636.24942489585</v>
      </c>
      <c r="AA502" s="3">
        <f t="shared" si="119"/>
        <v>7628182.4620111762</v>
      </c>
      <c r="AB502" s="3">
        <f t="shared" si="120"/>
        <v>7569703.8605014831</v>
      </c>
      <c r="AC502" s="3">
        <f t="shared" si="121"/>
        <v>-528136.24942489585</v>
      </c>
      <c r="AD502" s="3">
        <f t="shared" si="122"/>
        <v>7588105.4574674731</v>
      </c>
      <c r="AE502" s="3">
        <f t="shared" si="123"/>
        <v>7584703.8605014831</v>
      </c>
      <c r="AF502" s="3">
        <f t="shared" si="127"/>
        <v>-553136.24942489585</v>
      </c>
      <c r="AG502" s="3">
        <f t="shared" si="124"/>
        <v>7604846.6363191009</v>
      </c>
      <c r="AH502" s="3">
        <f t="shared" si="125"/>
        <v>2.1117464914511032E-2</v>
      </c>
      <c r="AI502" s="3">
        <f t="shared" si="126"/>
        <v>-1.5015333896700781E-3</v>
      </c>
    </row>
    <row r="503" spans="19:35" x14ac:dyDescent="0.3">
      <c r="S503" s="6">
        <v>486</v>
      </c>
      <c r="T503" s="4">
        <f t="shared" si="112"/>
        <v>243</v>
      </c>
      <c r="U503" s="3">
        <f t="shared" si="113"/>
        <v>-7619250.2029370945</v>
      </c>
      <c r="V503" s="3">
        <f t="shared" si="114"/>
        <v>540553.88005809672</v>
      </c>
      <c r="W503" s="3">
        <f t="shared" si="115"/>
        <v>-29538.650971826868</v>
      </c>
      <c r="X503" s="3">
        <f t="shared" si="116"/>
        <v>2417.0837939842954</v>
      </c>
      <c r="Y503" s="3">
        <f t="shared" si="117"/>
        <v>7624478.3169585597</v>
      </c>
      <c r="Z503" s="3">
        <f t="shared" si="118"/>
        <v>-531845.15610018105</v>
      </c>
      <c r="AA503" s="3">
        <f t="shared" si="119"/>
        <v>7643005.2254226841</v>
      </c>
      <c r="AB503" s="3">
        <f t="shared" si="120"/>
        <v>7584478.3169585597</v>
      </c>
      <c r="AC503" s="3">
        <f t="shared" si="121"/>
        <v>-529345.15610018105</v>
      </c>
      <c r="AD503" s="3">
        <f t="shared" si="122"/>
        <v>7602928.2276436938</v>
      </c>
      <c r="AE503" s="3">
        <f t="shared" si="123"/>
        <v>7599478.3169585597</v>
      </c>
      <c r="AF503" s="3">
        <f t="shared" si="127"/>
        <v>-554345.15610018105</v>
      </c>
      <c r="AG503" s="3">
        <f t="shared" si="124"/>
        <v>7619669.8906196086</v>
      </c>
      <c r="AH503" s="3">
        <f t="shared" si="125"/>
        <v>2.1035431819869273E-2</v>
      </c>
      <c r="AI503" s="3">
        <f t="shared" si="126"/>
        <v>-1.4961382807826226E-3</v>
      </c>
    </row>
    <row r="504" spans="19:35" x14ac:dyDescent="0.3">
      <c r="S504" s="6">
        <v>487</v>
      </c>
      <c r="T504" s="4">
        <f t="shared" si="112"/>
        <v>243.5</v>
      </c>
      <c r="U504" s="3">
        <f t="shared" si="113"/>
        <v>-7634019.5231641494</v>
      </c>
      <c r="V504" s="3">
        <f t="shared" si="114"/>
        <v>541762.42158105434</v>
      </c>
      <c r="W504" s="3">
        <f t="shared" si="115"/>
        <v>-29533.528844178731</v>
      </c>
      <c r="X504" s="3">
        <f t="shared" si="116"/>
        <v>2416.719484312925</v>
      </c>
      <c r="Y504" s="3">
        <f t="shared" si="117"/>
        <v>7639250.2029370945</v>
      </c>
      <c r="Z504" s="3">
        <f t="shared" si="118"/>
        <v>-533053.88005809672</v>
      </c>
      <c r="AA504" s="3">
        <f t="shared" si="119"/>
        <v>7657825.4160120049</v>
      </c>
      <c r="AB504" s="3">
        <f t="shared" si="120"/>
        <v>7599250.2029370945</v>
      </c>
      <c r="AC504" s="3">
        <f t="shared" si="121"/>
        <v>-530553.88005809672</v>
      </c>
      <c r="AD504" s="3">
        <f t="shared" si="122"/>
        <v>7617748.4249930549</v>
      </c>
      <c r="AE504" s="3">
        <f t="shared" si="123"/>
        <v>7614250.2029370945</v>
      </c>
      <c r="AF504" s="3">
        <f t="shared" si="127"/>
        <v>-555553.88005809672</v>
      </c>
      <c r="AG504" s="3">
        <f t="shared" si="124"/>
        <v>7634490.5702067111</v>
      </c>
      <c r="AH504" s="3">
        <f t="shared" si="125"/>
        <v>2.0953889904236453E-2</v>
      </c>
      <c r="AI504" s="3">
        <f t="shared" si="126"/>
        <v>-1.4907730134587393E-3</v>
      </c>
    </row>
    <row r="505" spans="19:35" x14ac:dyDescent="0.3">
      <c r="S505" s="6">
        <v>488</v>
      </c>
      <c r="T505" s="4">
        <f t="shared" si="112"/>
        <v>244</v>
      </c>
      <c r="U505" s="3">
        <f t="shared" si="113"/>
        <v>-7648786.2823477667</v>
      </c>
      <c r="V505" s="3">
        <f t="shared" si="114"/>
        <v>542970.78095051751</v>
      </c>
      <c r="W505" s="3">
        <f t="shared" si="115"/>
        <v>-29528.416095042096</v>
      </c>
      <c r="X505" s="3">
        <f t="shared" si="116"/>
        <v>2416.3557356976412</v>
      </c>
      <c r="Y505" s="3">
        <f t="shared" si="117"/>
        <v>7654019.5231641494</v>
      </c>
      <c r="Z505" s="3">
        <f t="shared" si="118"/>
        <v>-534262.42158105434</v>
      </c>
      <c r="AA505" s="3">
        <f t="shared" si="119"/>
        <v>7672643.038490166</v>
      </c>
      <c r="AB505" s="3">
        <f t="shared" si="120"/>
        <v>7614019.5231641494</v>
      </c>
      <c r="AC505" s="3">
        <f t="shared" si="121"/>
        <v>-531762.42158105434</v>
      </c>
      <c r="AD505" s="3">
        <f t="shared" si="122"/>
        <v>7632566.0542264925</v>
      </c>
      <c r="AE505" s="3">
        <f t="shared" si="123"/>
        <v>7629019.5231641494</v>
      </c>
      <c r="AF505" s="3">
        <f t="shared" si="127"/>
        <v>-556762.42158105434</v>
      </c>
      <c r="AG505" s="3">
        <f t="shared" si="124"/>
        <v>7649308.6798026748</v>
      </c>
      <c r="AH505" s="3">
        <f t="shared" si="125"/>
        <v>2.0872835204465798E-2</v>
      </c>
      <c r="AI505" s="3">
        <f t="shared" si="126"/>
        <v>-1.485437365974218E-3</v>
      </c>
    </row>
    <row r="506" spans="19:35" x14ac:dyDescent="0.3">
      <c r="S506" s="6">
        <v>489</v>
      </c>
      <c r="T506" s="4">
        <f t="shared" si="112"/>
        <v>244.5</v>
      </c>
      <c r="U506" s="3">
        <f t="shared" si="113"/>
        <v>-7663550.4851770792</v>
      </c>
      <c r="V506" s="3">
        <f t="shared" si="114"/>
        <v>544178.958447007</v>
      </c>
      <c r="W506" s="3">
        <f t="shared" si="115"/>
        <v>-29523.312686834604</v>
      </c>
      <c r="X506" s="3">
        <f t="shared" si="116"/>
        <v>2415.9925462616607</v>
      </c>
      <c r="Y506" s="3">
        <f t="shared" si="117"/>
        <v>7668786.2823477667</v>
      </c>
      <c r="Z506" s="3">
        <f t="shared" si="118"/>
        <v>-535470.78095051751</v>
      </c>
      <c r="AA506" s="3">
        <f t="shared" si="119"/>
        <v>7687458.0975493481</v>
      </c>
      <c r="AB506" s="3">
        <f t="shared" si="120"/>
        <v>7628786.2823477667</v>
      </c>
      <c r="AC506" s="3">
        <f t="shared" si="121"/>
        <v>-532970.78095051751</v>
      </c>
      <c r="AD506" s="3">
        <f t="shared" si="122"/>
        <v>7647381.1200360917</v>
      </c>
      <c r="AE506" s="3">
        <f t="shared" si="123"/>
        <v>7643786.2823477667</v>
      </c>
      <c r="AF506" s="3">
        <f t="shared" si="127"/>
        <v>-557970.78095051751</v>
      </c>
      <c r="AG506" s="3">
        <f t="shared" si="124"/>
        <v>7664124.2241108296</v>
      </c>
      <c r="AH506" s="3">
        <f t="shared" si="125"/>
        <v>2.0792263797582436E-2</v>
      </c>
      <c r="AI506" s="3">
        <f t="shared" si="126"/>
        <v>-1.4801311186651523E-3</v>
      </c>
    </row>
    <row r="507" spans="19:35" x14ac:dyDescent="0.3">
      <c r="S507" s="6">
        <v>490</v>
      </c>
      <c r="T507" s="4">
        <f t="shared" si="112"/>
        <v>245</v>
      </c>
      <c r="U507" s="3">
        <f t="shared" si="113"/>
        <v>-7678312.1363224303</v>
      </c>
      <c r="V507" s="3">
        <f t="shared" si="114"/>
        <v>545386.95435010514</v>
      </c>
      <c r="W507" s="3">
        <f t="shared" si="115"/>
        <v>-29518.218582204197</v>
      </c>
      <c r="X507" s="3">
        <f t="shared" si="116"/>
        <v>2415.6299141375875</v>
      </c>
      <c r="Y507" s="3">
        <f t="shared" si="117"/>
        <v>7683550.4851770792</v>
      </c>
      <c r="Z507" s="3">
        <f t="shared" si="118"/>
        <v>-536678.958447007</v>
      </c>
      <c r="AA507" s="3">
        <f t="shared" si="119"/>
        <v>7702270.5978629896</v>
      </c>
      <c r="AB507" s="3">
        <f t="shared" si="120"/>
        <v>7643550.4851770792</v>
      </c>
      <c r="AC507" s="3">
        <f t="shared" si="121"/>
        <v>-534178.958447007</v>
      </c>
      <c r="AD507" s="3">
        <f t="shared" si="122"/>
        <v>7662193.6270952001</v>
      </c>
      <c r="AE507" s="3">
        <f t="shared" si="123"/>
        <v>7658550.4851770792</v>
      </c>
      <c r="AF507" s="3">
        <f t="shared" si="127"/>
        <v>-559178.958447007</v>
      </c>
      <c r="AG507" s="3">
        <f t="shared" si="124"/>
        <v>7678937.2078156732</v>
      </c>
      <c r="AH507" s="3">
        <f t="shared" si="125"/>
        <v>2.0712171800293944E-2</v>
      </c>
      <c r="AI507" s="3">
        <f t="shared" si="126"/>
        <v>-1.4748540539050747E-3</v>
      </c>
    </row>
    <row r="508" spans="19:35" x14ac:dyDescent="0.3">
      <c r="S508" s="6">
        <v>491</v>
      </c>
      <c r="T508" s="4">
        <f t="shared" si="112"/>
        <v>245.5</v>
      </c>
      <c r="U508" s="3">
        <f t="shared" si="113"/>
        <v>-7693071.2404354895</v>
      </c>
      <c r="V508" s="3">
        <f t="shared" si="114"/>
        <v>546594.76893846039</v>
      </c>
      <c r="W508" s="3">
        <f t="shared" si="115"/>
        <v>-29513.133744027225</v>
      </c>
      <c r="X508" s="3">
        <f t="shared" si="116"/>
        <v>2415.2678374673537</v>
      </c>
      <c r="Y508" s="3">
        <f t="shared" si="117"/>
        <v>7698312.1363224303</v>
      </c>
      <c r="Z508" s="3">
        <f t="shared" si="118"/>
        <v>-537886.95435010514</v>
      </c>
      <c r="AA508" s="3">
        <f t="shared" si="119"/>
        <v>7717080.5440859077</v>
      </c>
      <c r="AB508" s="3">
        <f t="shared" si="120"/>
        <v>7658312.1363224303</v>
      </c>
      <c r="AC508" s="3">
        <f t="shared" si="121"/>
        <v>-535386.95435010514</v>
      </c>
      <c r="AD508" s="3">
        <f t="shared" si="122"/>
        <v>7677003.5800585449</v>
      </c>
      <c r="AE508" s="3">
        <f t="shared" si="123"/>
        <v>7673312.1363224303</v>
      </c>
      <c r="AF508" s="3">
        <f t="shared" si="127"/>
        <v>-560386.95435010514</v>
      </c>
      <c r="AG508" s="3">
        <f t="shared" si="124"/>
        <v>7693747.6355829928</v>
      </c>
      <c r="AH508" s="3">
        <f t="shared" si="125"/>
        <v>2.0632555368507499E-2</v>
      </c>
      <c r="AI508" s="3">
        <f t="shared" si="126"/>
        <v>-1.4696059560823506E-3</v>
      </c>
    </row>
    <row r="509" spans="19:35" x14ac:dyDescent="0.3">
      <c r="S509" s="6">
        <v>492</v>
      </c>
      <c r="T509" s="4">
        <f t="shared" si="112"/>
        <v>246</v>
      </c>
      <c r="U509" s="3">
        <f t="shared" si="113"/>
        <v>-7707827.8021493647</v>
      </c>
      <c r="V509" s="3">
        <f t="shared" si="114"/>
        <v>547802.40248979256</v>
      </c>
      <c r="W509" s="3">
        <f t="shared" si="115"/>
        <v>-29508.058135406573</v>
      </c>
      <c r="X509" s="3">
        <f t="shared" si="116"/>
        <v>2414.9063144021575</v>
      </c>
      <c r="Y509" s="3">
        <f t="shared" si="117"/>
        <v>7713071.2404354895</v>
      </c>
      <c r="Z509" s="3">
        <f t="shared" si="118"/>
        <v>-539094.76893846039</v>
      </c>
      <c r="AA509" s="3">
        <f t="shared" si="119"/>
        <v>7731887.9408544116</v>
      </c>
      <c r="AB509" s="3">
        <f t="shared" si="120"/>
        <v>7673071.2404354895</v>
      </c>
      <c r="AC509" s="3">
        <f t="shared" si="121"/>
        <v>-536594.76893846039</v>
      </c>
      <c r="AD509" s="3">
        <f t="shared" si="122"/>
        <v>7691810.9835623456</v>
      </c>
      <c r="AE509" s="3">
        <f t="shared" si="123"/>
        <v>7688071.2404354895</v>
      </c>
      <c r="AF509" s="3">
        <f t="shared" si="127"/>
        <v>-561594.76893846039</v>
      </c>
      <c r="AG509" s="3">
        <f t="shared" si="124"/>
        <v>7708555.5120599819</v>
      </c>
      <c r="AH509" s="3">
        <f t="shared" si="125"/>
        <v>2.0553410696853881E-2</v>
      </c>
      <c r="AI509" s="3">
        <f t="shared" si="126"/>
        <v>-1.4643866115778654E-3</v>
      </c>
    </row>
    <row r="510" spans="19:35" x14ac:dyDescent="0.3">
      <c r="S510" s="6">
        <v>493</v>
      </c>
      <c r="T510" s="4">
        <f t="shared" si="112"/>
        <v>246.5</v>
      </c>
      <c r="U510" s="3">
        <f t="shared" si="113"/>
        <v>-7722581.8260787157</v>
      </c>
      <c r="V510" s="3">
        <f t="shared" si="114"/>
        <v>549009.855280897</v>
      </c>
      <c r="W510" s="3">
        <f t="shared" si="115"/>
        <v>-29502.991719669797</v>
      </c>
      <c r="X510" s="3">
        <f t="shared" si="116"/>
        <v>2414.5453431024034</v>
      </c>
      <c r="Y510" s="3">
        <f t="shared" si="117"/>
        <v>7727827.8021493647</v>
      </c>
      <c r="Z510" s="3">
        <f t="shared" si="118"/>
        <v>-540302.40248979256</v>
      </c>
      <c r="AA510" s="3">
        <f t="shared" si="119"/>
        <v>7746692.792786411</v>
      </c>
      <c r="AB510" s="3">
        <f t="shared" si="120"/>
        <v>7687827.8021493647</v>
      </c>
      <c r="AC510" s="3">
        <f t="shared" si="121"/>
        <v>-537802.40248979256</v>
      </c>
      <c r="AD510" s="3">
        <f t="shared" si="122"/>
        <v>7706615.8422244275</v>
      </c>
      <c r="AE510" s="3">
        <f t="shared" si="123"/>
        <v>7702827.8021493647</v>
      </c>
      <c r="AF510" s="3">
        <f t="shared" si="127"/>
        <v>-562802.40248979256</v>
      </c>
      <c r="AG510" s="3">
        <f t="shared" si="124"/>
        <v>7723360.8418753482</v>
      </c>
      <c r="AH510" s="3">
        <f t="shared" si="125"/>
        <v>2.0474734018218067E-2</v>
      </c>
      <c r="AI510" s="3">
        <f t="shared" si="126"/>
        <v>-1.4591958087429922E-3</v>
      </c>
    </row>
    <row r="511" spans="19:35" x14ac:dyDescent="0.3">
      <c r="S511" s="6">
        <v>494</v>
      </c>
      <c r="T511" s="4">
        <f t="shared" si="112"/>
        <v>247</v>
      </c>
      <c r="U511" s="3">
        <f t="shared" si="113"/>
        <v>-7737333.3168198671</v>
      </c>
      <c r="V511" s="3">
        <f t="shared" si="114"/>
        <v>550217.12758764927</v>
      </c>
      <c r="W511" s="3">
        <f t="shared" si="115"/>
        <v>-29497.934460367298</v>
      </c>
      <c r="X511" s="3">
        <f t="shared" si="116"/>
        <v>2414.1849217376439</v>
      </c>
      <c r="Y511" s="3">
        <f t="shared" si="117"/>
        <v>7742581.8260787157</v>
      </c>
      <c r="Z511" s="3">
        <f t="shared" si="118"/>
        <v>-541509.855280897</v>
      </c>
      <c r="AA511" s="3">
        <f t="shared" si="119"/>
        <v>7761495.1044815304</v>
      </c>
      <c r="AB511" s="3">
        <f t="shared" si="120"/>
        <v>7702581.8260787157</v>
      </c>
      <c r="AC511" s="3">
        <f t="shared" si="121"/>
        <v>-539009.855280897</v>
      </c>
      <c r="AD511" s="3">
        <f t="shared" si="122"/>
        <v>7721418.1606443292</v>
      </c>
      <c r="AE511" s="3">
        <f t="shared" si="123"/>
        <v>7717581.8260787157</v>
      </c>
      <c r="AF511" s="3">
        <f t="shared" si="127"/>
        <v>-564009.855280897</v>
      </c>
      <c r="AG511" s="3">
        <f t="shared" si="124"/>
        <v>7738163.629639429</v>
      </c>
      <c r="AH511" s="3">
        <f t="shared" si="125"/>
        <v>2.0396521603276721E-2</v>
      </c>
      <c r="AI511" s="3">
        <f t="shared" si="126"/>
        <v>-1.4540333378778515E-3</v>
      </c>
    </row>
    <row r="512" spans="19:35" x14ac:dyDescent="0.3">
      <c r="S512" s="6">
        <v>495</v>
      </c>
      <c r="T512" s="4">
        <f t="shared" si="112"/>
        <v>247.5</v>
      </c>
      <c r="U512" s="3">
        <f t="shared" si="113"/>
        <v>-7752082.2789509203</v>
      </c>
      <c r="V512" s="3">
        <f t="shared" si="114"/>
        <v>551424.2196850098</v>
      </c>
      <c r="W512" s="3">
        <f t="shared" si="115"/>
        <v>-29492.886321270485</v>
      </c>
      <c r="X512" s="3">
        <f t="shared" si="116"/>
        <v>2413.8250484865193</v>
      </c>
      <c r="Y512" s="3">
        <f t="shared" si="117"/>
        <v>7757333.3168198671</v>
      </c>
      <c r="Z512" s="3">
        <f t="shared" si="118"/>
        <v>-542717.12758764927</v>
      </c>
      <c r="AA512" s="3">
        <f t="shared" si="119"/>
        <v>7776294.8805212183</v>
      </c>
      <c r="AB512" s="3">
        <f t="shared" si="120"/>
        <v>7717333.3168198671</v>
      </c>
      <c r="AC512" s="3">
        <f t="shared" si="121"/>
        <v>-540217.12758764927</v>
      </c>
      <c r="AD512" s="3">
        <f t="shared" si="122"/>
        <v>7736217.9434034154</v>
      </c>
      <c r="AE512" s="3">
        <f t="shared" si="123"/>
        <v>7732333.3168198671</v>
      </c>
      <c r="AF512" s="3">
        <f t="shared" si="127"/>
        <v>-565217.12758764927</v>
      </c>
      <c r="AG512" s="3">
        <f t="shared" si="124"/>
        <v>7752963.8799442993</v>
      </c>
      <c r="AH512" s="3">
        <f t="shared" si="125"/>
        <v>2.0318769760042196E-2</v>
      </c>
      <c r="AI512" s="3">
        <f t="shared" si="126"/>
        <v>-1.4488989912098528E-3</v>
      </c>
    </row>
    <row r="513" spans="19:35" x14ac:dyDescent="0.3">
      <c r="S513" s="6">
        <v>496</v>
      </c>
      <c r="T513" s="4">
        <f t="shared" si="112"/>
        <v>248</v>
      </c>
      <c r="U513" s="3">
        <f t="shared" si="113"/>
        <v>-7766828.7170318635</v>
      </c>
      <c r="V513" s="3">
        <f t="shared" si="114"/>
        <v>552631.13184702827</v>
      </c>
      <c r="W513" s="3">
        <f t="shared" si="115"/>
        <v>-29487.847266369994</v>
      </c>
      <c r="X513" s="3">
        <f t="shared" si="116"/>
        <v>2413.4657215366992</v>
      </c>
      <c r="Y513" s="3">
        <f t="shared" si="117"/>
        <v>7772082.2789509203</v>
      </c>
      <c r="Z513" s="3">
        <f t="shared" si="118"/>
        <v>-543924.2196850098</v>
      </c>
      <c r="AA513" s="3">
        <f t="shared" si="119"/>
        <v>7791092.1254688594</v>
      </c>
      <c r="AB513" s="3">
        <f t="shared" si="120"/>
        <v>7732082.2789509203</v>
      </c>
      <c r="AC513" s="3">
        <f t="shared" si="121"/>
        <v>-541424.2196850098</v>
      </c>
      <c r="AD513" s="3">
        <f t="shared" si="122"/>
        <v>7751015.1950649908</v>
      </c>
      <c r="AE513" s="3">
        <f t="shared" si="123"/>
        <v>7747082.2789509203</v>
      </c>
      <c r="AF513" s="3">
        <f t="shared" si="127"/>
        <v>-566424.2196850098</v>
      </c>
      <c r="AG513" s="3">
        <f t="shared" si="124"/>
        <v>7767761.5973638864</v>
      </c>
      <c r="AH513" s="3">
        <f t="shared" si="125"/>
        <v>2.0241474833412834E-2</v>
      </c>
      <c r="AI513" s="3">
        <f t="shared" si="126"/>
        <v>-1.4437925628725009E-3</v>
      </c>
    </row>
    <row r="514" spans="19:35" x14ac:dyDescent="0.3">
      <c r="S514" s="6">
        <v>497</v>
      </c>
      <c r="T514" s="4">
        <f t="shared" si="112"/>
        <v>248.5</v>
      </c>
      <c r="U514" s="3">
        <f t="shared" si="113"/>
        <v>-7781572.6356046796</v>
      </c>
      <c r="V514" s="3">
        <f t="shared" si="114"/>
        <v>553837.86434684845</v>
      </c>
      <c r="W514" s="3">
        <f t="shared" si="115"/>
        <v>-29482.817259873889</v>
      </c>
      <c r="X514" s="3">
        <f t="shared" si="116"/>
        <v>2413.1069390848256</v>
      </c>
      <c r="Y514" s="3">
        <f t="shared" si="117"/>
        <v>7786828.7170318635</v>
      </c>
      <c r="Z514" s="3">
        <f t="shared" si="118"/>
        <v>-545131.13184702827</v>
      </c>
      <c r="AA514" s="3">
        <f t="shared" si="119"/>
        <v>7805886.8438698826</v>
      </c>
      <c r="AB514" s="3">
        <f t="shared" si="120"/>
        <v>7746828.7170318635</v>
      </c>
      <c r="AC514" s="3">
        <f t="shared" si="121"/>
        <v>-542631.13184702827</v>
      </c>
      <c r="AD514" s="3">
        <f t="shared" si="122"/>
        <v>7765809.9201744003</v>
      </c>
      <c r="AE514" s="3">
        <f t="shared" si="123"/>
        <v>7761828.7170318635</v>
      </c>
      <c r="AF514" s="3">
        <f t="shared" si="127"/>
        <v>-567631.13184702827</v>
      </c>
      <c r="AG514" s="3">
        <f t="shared" si="124"/>
        <v>7782556.7864540797</v>
      </c>
      <c r="AH514" s="3">
        <f t="shared" si="125"/>
        <v>2.0164633204729512E-2</v>
      </c>
      <c r="AI514" s="3">
        <f t="shared" si="126"/>
        <v>-1.4387138488844643E-3</v>
      </c>
    </row>
    <row r="515" spans="19:35" x14ac:dyDescent="0.3">
      <c r="S515" s="6">
        <v>498</v>
      </c>
      <c r="T515" s="4">
        <f t="shared" si="112"/>
        <v>249</v>
      </c>
      <c r="U515" s="3">
        <f t="shared" si="113"/>
        <v>-7796314.0391934579</v>
      </c>
      <c r="V515" s="3">
        <f t="shared" si="114"/>
        <v>555044.41745671246</v>
      </c>
      <c r="W515" s="3">
        <f t="shared" si="115"/>
        <v>-29477.796266205911</v>
      </c>
      <c r="X515" s="3">
        <f t="shared" si="116"/>
        <v>2412.7486993364532</v>
      </c>
      <c r="Y515" s="3">
        <f t="shared" si="117"/>
        <v>7801572.6356046796</v>
      </c>
      <c r="Z515" s="3">
        <f t="shared" si="118"/>
        <v>-546337.86434684845</v>
      </c>
      <c r="AA515" s="3">
        <f t="shared" si="119"/>
        <v>7820679.0402518651</v>
      </c>
      <c r="AB515" s="3">
        <f t="shared" si="120"/>
        <v>7761572.6356046796</v>
      </c>
      <c r="AC515" s="3">
        <f t="shared" si="121"/>
        <v>-543837.86434684845</v>
      </c>
      <c r="AD515" s="3">
        <f t="shared" si="122"/>
        <v>7780602.1232591448</v>
      </c>
      <c r="AE515" s="3">
        <f t="shared" si="123"/>
        <v>7776572.6356046796</v>
      </c>
      <c r="AF515" s="3">
        <f t="shared" si="127"/>
        <v>-568837.86434684845</v>
      </c>
      <c r="AG515" s="3">
        <f t="shared" si="124"/>
        <v>7797349.4517528322</v>
      </c>
      <c r="AH515" s="3">
        <f t="shared" si="125"/>
        <v>2.0088241291338696E-2</v>
      </c>
      <c r="AI515" s="3">
        <f t="shared" si="126"/>
        <v>-1.4336626471289329E-3</v>
      </c>
    </row>
    <row r="516" spans="19:35" x14ac:dyDescent="0.3">
      <c r="S516" s="6">
        <v>499</v>
      </c>
      <c r="T516" s="4">
        <f t="shared" si="112"/>
        <v>249.5</v>
      </c>
      <c r="U516" s="3">
        <f t="shared" si="113"/>
        <v>-7811052.9323045006</v>
      </c>
      <c r="V516" s="3">
        <f t="shared" si="114"/>
        <v>556250.79144796508</v>
      </c>
      <c r="W516" s="3">
        <f t="shared" si="115"/>
        <v>-29472.784250003722</v>
      </c>
      <c r="X516" s="3">
        <f t="shared" si="116"/>
        <v>2412.3910005059947</v>
      </c>
      <c r="Y516" s="3">
        <f t="shared" si="117"/>
        <v>7816314.0391934579</v>
      </c>
      <c r="Z516" s="3">
        <f t="shared" si="118"/>
        <v>-547544.41745671246</v>
      </c>
      <c r="AA516" s="3">
        <f t="shared" si="119"/>
        <v>7835468.7191246422</v>
      </c>
      <c r="AB516" s="3">
        <f t="shared" si="120"/>
        <v>7776314.0391934579</v>
      </c>
      <c r="AC516" s="3">
        <f t="shared" si="121"/>
        <v>-545044.41745671246</v>
      </c>
      <c r="AD516" s="3">
        <f t="shared" si="122"/>
        <v>7795391.8088289825</v>
      </c>
      <c r="AE516" s="3">
        <f t="shared" si="123"/>
        <v>7791314.0391934579</v>
      </c>
      <c r="AF516" s="3">
        <f t="shared" si="127"/>
        <v>-570044.41745671246</v>
      </c>
      <c r="AG516" s="3">
        <f t="shared" si="124"/>
        <v>7812139.5977802807</v>
      </c>
      <c r="AH516" s="3">
        <f t="shared" si="125"/>
        <v>2.0012295546161678E-2</v>
      </c>
      <c r="AI516" s="3">
        <f t="shared" si="126"/>
        <v>-1.4286387573332424E-3</v>
      </c>
    </row>
    <row r="517" spans="19:35" x14ac:dyDescent="0.3">
      <c r="S517" s="6">
        <v>500</v>
      </c>
      <c r="T517" s="4">
        <f t="shared" si="112"/>
        <v>250</v>
      </c>
      <c r="U517" s="3">
        <f t="shared" si="113"/>
        <v>-7825789.3194264285</v>
      </c>
      <c r="V517" s="3">
        <f t="shared" si="114"/>
        <v>557456.98659105843</v>
      </c>
      <c r="W517" s="3">
        <f t="shared" si="115"/>
        <v>-29467.781176117183</v>
      </c>
      <c r="X517" s="3">
        <f t="shared" si="116"/>
        <v>2412.0338408166613</v>
      </c>
      <c r="Y517" s="3">
        <f t="shared" si="117"/>
        <v>7831052.9323045006</v>
      </c>
      <c r="Z517" s="3">
        <f t="shared" si="118"/>
        <v>-548750.79144796508</v>
      </c>
      <c r="AA517" s="3">
        <f t="shared" si="119"/>
        <v>7850255.8849804178</v>
      </c>
      <c r="AB517" s="3">
        <f t="shared" si="120"/>
        <v>7791052.9323045006</v>
      </c>
      <c r="AC517" s="3">
        <f t="shared" si="121"/>
        <v>-546250.79144796508</v>
      </c>
      <c r="AD517" s="3">
        <f t="shared" si="122"/>
        <v>7810178.9813760407</v>
      </c>
      <c r="AE517" s="3">
        <f t="shared" si="123"/>
        <v>7806052.9323045006</v>
      </c>
      <c r="AF517" s="3">
        <f t="shared" si="127"/>
        <v>-571250.79144796508</v>
      </c>
      <c r="AG517" s="3">
        <f t="shared" si="124"/>
        <v>7826927.2290388411</v>
      </c>
      <c r="AH517" s="3">
        <f t="shared" si="125"/>
        <v>1.993679245726895E-2</v>
      </c>
      <c r="AI517" s="3">
        <f t="shared" si="126"/>
        <v>-1.4236419810486911E-3</v>
      </c>
    </row>
    <row r="518" spans="19:35" x14ac:dyDescent="0.3">
      <c r="S518" s="6">
        <v>501</v>
      </c>
      <c r="T518" s="4">
        <f t="shared" si="112"/>
        <v>250.5</v>
      </c>
      <c r="U518" s="3">
        <f t="shared" si="113"/>
        <v>-7840523.2050302885</v>
      </c>
      <c r="V518" s="3">
        <f t="shared" si="114"/>
        <v>558663.00315555627</v>
      </c>
      <c r="W518" s="3">
        <f t="shared" si="115"/>
        <v>-29462.787009606636</v>
      </c>
      <c r="X518" s="3">
        <f t="shared" si="116"/>
        <v>2411.6772185004083</v>
      </c>
      <c r="Y518" s="3">
        <f t="shared" si="117"/>
        <v>7845789.3194264285</v>
      </c>
      <c r="Z518" s="3">
        <f t="shared" si="118"/>
        <v>-549956.98659105843</v>
      </c>
      <c r="AA518" s="3">
        <f t="shared" si="119"/>
        <v>7865040.5422938624</v>
      </c>
      <c r="AB518" s="3">
        <f t="shared" si="120"/>
        <v>7805789.3194264285</v>
      </c>
      <c r="AC518" s="3">
        <f t="shared" si="121"/>
        <v>-547456.98659105843</v>
      </c>
      <c r="AD518" s="3">
        <f t="shared" si="122"/>
        <v>7824963.6453749137</v>
      </c>
      <c r="AE518" s="3">
        <f t="shared" si="123"/>
        <v>7820789.3194264285</v>
      </c>
      <c r="AF518" s="3">
        <f t="shared" si="127"/>
        <v>-572456.98659105843</v>
      </c>
      <c r="AG518" s="3">
        <f t="shared" si="124"/>
        <v>7841712.3500133194</v>
      </c>
      <c r="AH518" s="3">
        <f t="shared" si="125"/>
        <v>1.9861728547461911E-2</v>
      </c>
      <c r="AI518" s="3">
        <f t="shared" si="126"/>
        <v>-1.4186721216307156E-3</v>
      </c>
    </row>
    <row r="519" spans="19:35" x14ac:dyDescent="0.3">
      <c r="S519" s="6">
        <v>502</v>
      </c>
      <c r="T519" s="4">
        <f t="shared" si="112"/>
        <v>251</v>
      </c>
      <c r="U519" s="3">
        <f t="shared" si="113"/>
        <v>-7855254.5935696596</v>
      </c>
      <c r="V519" s="3">
        <f t="shared" si="114"/>
        <v>559868.84141013853</v>
      </c>
      <c r="W519" s="3">
        <f t="shared" si="115"/>
        <v>-29457.801715741225</v>
      </c>
      <c r="X519" s="3">
        <f t="shared" si="116"/>
        <v>2411.3211317978789</v>
      </c>
      <c r="Y519" s="3">
        <f t="shared" si="117"/>
        <v>7860523.2050302885</v>
      </c>
      <c r="Z519" s="3">
        <f t="shared" si="118"/>
        <v>-551163.00315555627</v>
      </c>
      <c r="AA519" s="3">
        <f t="shared" si="119"/>
        <v>7879822.6955222217</v>
      </c>
      <c r="AB519" s="3">
        <f t="shared" si="120"/>
        <v>7820523.2050302885</v>
      </c>
      <c r="AC519" s="3">
        <f t="shared" si="121"/>
        <v>-548663.00315555627</v>
      </c>
      <c r="AD519" s="3">
        <f t="shared" si="122"/>
        <v>7839745.8052827762</v>
      </c>
      <c r="AE519" s="3">
        <f t="shared" si="123"/>
        <v>7835523.2050302885</v>
      </c>
      <c r="AF519" s="3">
        <f t="shared" si="127"/>
        <v>-573663.00315555627</v>
      </c>
      <c r="AG519" s="3">
        <f t="shared" si="124"/>
        <v>7856494.9651710195</v>
      </c>
      <c r="AH519" s="3">
        <f t="shared" si="125"/>
        <v>1.9787100373859289E-2</v>
      </c>
      <c r="AI519" s="3">
        <f t="shared" si="126"/>
        <v>-1.4137289842192347E-3</v>
      </c>
    </row>
    <row r="520" spans="19:35" x14ac:dyDescent="0.3">
      <c r="S520" s="6">
        <v>503</v>
      </c>
      <c r="T520" s="4">
        <f t="shared" si="112"/>
        <v>251.5</v>
      </c>
      <c r="U520" s="3">
        <f t="shared" si="113"/>
        <v>-7869983.4894807553</v>
      </c>
      <c r="V520" s="3">
        <f t="shared" si="114"/>
        <v>561074.50162260525</v>
      </c>
      <c r="W520" s="3">
        <f t="shared" si="115"/>
        <v>-29452.8252599972</v>
      </c>
      <c r="X520" s="3">
        <f t="shared" si="116"/>
        <v>2410.9655789583476</v>
      </c>
      <c r="Y520" s="3">
        <f t="shared" si="117"/>
        <v>7875254.5935696596</v>
      </c>
      <c r="Z520" s="3">
        <f t="shared" si="118"/>
        <v>-552368.84141013853</v>
      </c>
      <c r="AA520" s="3">
        <f t="shared" si="119"/>
        <v>7894602.3491054196</v>
      </c>
      <c r="AB520" s="3">
        <f t="shared" si="120"/>
        <v>7835254.5935696596</v>
      </c>
      <c r="AC520" s="3">
        <f t="shared" si="121"/>
        <v>-549868.84141013853</v>
      </c>
      <c r="AD520" s="3">
        <f t="shared" si="122"/>
        <v>7854525.4655394796</v>
      </c>
      <c r="AE520" s="3">
        <f t="shared" si="123"/>
        <v>7850254.5935696596</v>
      </c>
      <c r="AF520" s="3">
        <f t="shared" si="127"/>
        <v>-574868.84141013853</v>
      </c>
      <c r="AG520" s="3">
        <f t="shared" si="124"/>
        <v>7871275.0789618436</v>
      </c>
      <c r="AH520" s="3">
        <f t="shared" si="125"/>
        <v>1.9712904527489812E-2</v>
      </c>
      <c r="AI520" s="3">
        <f t="shared" si="126"/>
        <v>-1.4088123757192822E-3</v>
      </c>
    </row>
    <row r="521" spans="19:35" x14ac:dyDescent="0.3">
      <c r="S521" s="6">
        <v>504</v>
      </c>
      <c r="T521" s="4">
        <f t="shared" si="112"/>
        <v>252</v>
      </c>
      <c r="U521" s="3">
        <f t="shared" si="113"/>
        <v>-7884709.897182527</v>
      </c>
      <c r="V521" s="3">
        <f t="shared" si="114"/>
        <v>562279.9840598813</v>
      </c>
      <c r="W521" s="3">
        <f t="shared" si="115"/>
        <v>-29447.857608056274</v>
      </c>
      <c r="X521" s="3">
        <f t="shared" si="116"/>
        <v>2410.6105582396663</v>
      </c>
      <c r="Y521" s="3">
        <f t="shared" si="117"/>
        <v>7889983.4894807553</v>
      </c>
      <c r="Z521" s="3">
        <f t="shared" si="118"/>
        <v>-553574.50162260525</v>
      </c>
      <c r="AA521" s="3">
        <f t="shared" si="119"/>
        <v>7909379.5074661598</v>
      </c>
      <c r="AB521" s="3">
        <f t="shared" si="120"/>
        <v>7849983.4894807553</v>
      </c>
      <c r="AC521" s="3">
        <f t="shared" si="121"/>
        <v>-551074.50162260525</v>
      </c>
      <c r="AD521" s="3">
        <f t="shared" si="122"/>
        <v>7869302.6305676578</v>
      </c>
      <c r="AE521" s="3">
        <f t="shared" si="123"/>
        <v>7864983.4894807553</v>
      </c>
      <c r="AF521" s="3">
        <f t="shared" si="127"/>
        <v>-576074.50162260525</v>
      </c>
      <c r="AG521" s="3">
        <f t="shared" si="124"/>
        <v>7886052.6958183972</v>
      </c>
      <c r="AH521" s="3">
        <f t="shared" si="125"/>
        <v>1.9639137632890335E-2</v>
      </c>
      <c r="AI521" s="3">
        <f t="shared" si="126"/>
        <v>-1.4039221047818624E-3</v>
      </c>
    </row>
    <row r="522" spans="19:35" x14ac:dyDescent="0.3">
      <c r="S522" s="6">
        <v>505</v>
      </c>
      <c r="T522" s="4">
        <f t="shared" si="112"/>
        <v>252.5</v>
      </c>
      <c r="U522" s="3">
        <f t="shared" si="113"/>
        <v>-7899433.8210767703</v>
      </c>
      <c r="V522" s="3">
        <f t="shared" si="114"/>
        <v>563485.28898802062</v>
      </c>
      <c r="W522" s="3">
        <f t="shared" si="115"/>
        <v>-29442.898725803971</v>
      </c>
      <c r="X522" s="3">
        <f t="shared" si="116"/>
        <v>2410.2560679082089</v>
      </c>
      <c r="Y522" s="3">
        <f t="shared" si="117"/>
        <v>7904709.897182527</v>
      </c>
      <c r="Z522" s="3">
        <f t="shared" si="118"/>
        <v>-554779.9840598813</v>
      </c>
      <c r="AA522" s="3">
        <f t="shared" si="119"/>
        <v>7924154.1750100292</v>
      </c>
      <c r="AB522" s="3">
        <f t="shared" si="120"/>
        <v>7864709.897182527</v>
      </c>
      <c r="AC522" s="3">
        <f t="shared" si="121"/>
        <v>-552279.9840598813</v>
      </c>
      <c r="AD522" s="3">
        <f t="shared" si="122"/>
        <v>7884077.3047728278</v>
      </c>
      <c r="AE522" s="3">
        <f t="shared" si="123"/>
        <v>7879709.897182527</v>
      </c>
      <c r="AF522" s="3">
        <f t="shared" si="127"/>
        <v>-577279.9840598813</v>
      </c>
      <c r="AG522" s="3">
        <f t="shared" si="124"/>
        <v>7900827.8201560909</v>
      </c>
      <c r="AH522" s="3">
        <f t="shared" si="125"/>
        <v>1.9565796347709705E-2</v>
      </c>
      <c r="AI522" s="3">
        <f t="shared" si="126"/>
        <v>-1.3990579817850664E-3</v>
      </c>
    </row>
    <row r="523" spans="19:35" x14ac:dyDescent="0.3">
      <c r="S523" s="6">
        <v>506</v>
      </c>
      <c r="T523" s="4">
        <f t="shared" si="112"/>
        <v>253</v>
      </c>
      <c r="U523" s="3">
        <f t="shared" si="113"/>
        <v>-7914155.2655482236</v>
      </c>
      <c r="V523" s="3">
        <f t="shared" si="114"/>
        <v>564690.41667221021</v>
      </c>
      <c r="W523" s="3">
        <f t="shared" si="115"/>
        <v>-29437.948579328</v>
      </c>
      <c r="X523" s="3">
        <f t="shared" si="116"/>
        <v>2409.9021062388174</v>
      </c>
      <c r="Y523" s="3">
        <f t="shared" si="117"/>
        <v>7919433.8210767703</v>
      </c>
      <c r="Z523" s="3">
        <f t="shared" si="118"/>
        <v>-555985.28898802062</v>
      </c>
      <c r="AA523" s="3">
        <f t="shared" si="119"/>
        <v>7938926.3561256006</v>
      </c>
      <c r="AB523" s="3">
        <f t="shared" si="120"/>
        <v>7879433.8210767703</v>
      </c>
      <c r="AC523" s="3">
        <f t="shared" si="121"/>
        <v>-553485.28898802062</v>
      </c>
      <c r="AD523" s="3">
        <f t="shared" si="122"/>
        <v>7898849.4925434953</v>
      </c>
      <c r="AE523" s="3">
        <f t="shared" si="123"/>
        <v>7894433.8210767703</v>
      </c>
      <c r="AF523" s="3">
        <f t="shared" si="127"/>
        <v>-578485.28898802062</v>
      </c>
      <c r="AG523" s="3">
        <f t="shared" si="124"/>
        <v>7915600.4563732455</v>
      </c>
      <c r="AH523" s="3">
        <f t="shared" si="125"/>
        <v>1.949287736231807E-2</v>
      </c>
      <c r="AI523" s="3">
        <f t="shared" si="126"/>
        <v>-1.3942198188154203E-3</v>
      </c>
    </row>
    <row r="524" spans="19:35" x14ac:dyDescent="0.3">
      <c r="S524" s="6">
        <v>507</v>
      </c>
      <c r="T524" s="4">
        <f t="shared" si="112"/>
        <v>253.5</v>
      </c>
      <c r="U524" s="3">
        <f t="shared" si="113"/>
        <v>-7928874.2349646688</v>
      </c>
      <c r="V524" s="3">
        <f t="shared" si="114"/>
        <v>565895.36737677467</v>
      </c>
      <c r="W524" s="3">
        <f t="shared" si="115"/>
        <v>-29433.007134916654</v>
      </c>
      <c r="X524" s="3">
        <f t="shared" si="116"/>
        <v>2409.5486715147476</v>
      </c>
      <c r="Y524" s="3">
        <f t="shared" si="117"/>
        <v>7934155.2655482236</v>
      </c>
      <c r="Z524" s="3">
        <f t="shared" si="118"/>
        <v>-557190.41667221021</v>
      </c>
      <c r="AA524" s="3">
        <f t="shared" si="119"/>
        <v>7953696.0551845301</v>
      </c>
      <c r="AB524" s="3">
        <f t="shared" si="120"/>
        <v>7894155.2655482236</v>
      </c>
      <c r="AC524" s="3">
        <f t="shared" si="121"/>
        <v>-554690.41667221021</v>
      </c>
      <c r="AD524" s="3">
        <f t="shared" si="122"/>
        <v>7913619.1982512483</v>
      </c>
      <c r="AE524" s="3">
        <f t="shared" si="123"/>
        <v>7909155.2655482236</v>
      </c>
      <c r="AF524" s="3">
        <f t="shared" si="127"/>
        <v>-579690.41667221021</v>
      </c>
      <c r="AG524" s="3">
        <f t="shared" si="124"/>
        <v>7930370.6088511897</v>
      </c>
      <c r="AH524" s="3">
        <f t="shared" si="125"/>
        <v>1.9420377399420985E-2</v>
      </c>
      <c r="AI524" s="3">
        <f t="shared" si="126"/>
        <v>-1.3894074296494224E-3</v>
      </c>
    </row>
    <row r="525" spans="19:35" x14ac:dyDescent="0.3">
      <c r="S525" s="6">
        <v>508</v>
      </c>
      <c r="T525" s="4">
        <f t="shared" si="112"/>
        <v>254</v>
      </c>
      <c r="U525" s="3">
        <f t="shared" si="113"/>
        <v>-7943590.7336770324</v>
      </c>
      <c r="V525" s="3">
        <f t="shared" si="114"/>
        <v>567100.14136518014</v>
      </c>
      <c r="W525" s="3">
        <f t="shared" si="115"/>
        <v>-29428.074359057202</v>
      </c>
      <c r="X525" s="3">
        <f t="shared" si="116"/>
        <v>2409.1957620276166</v>
      </c>
      <c r="Y525" s="3">
        <f t="shared" si="117"/>
        <v>7948874.2349646688</v>
      </c>
      <c r="Z525" s="3">
        <f t="shared" si="118"/>
        <v>-558395.36737677467</v>
      </c>
      <c r="AA525" s="3">
        <f t="shared" si="119"/>
        <v>7968463.2765416568</v>
      </c>
      <c r="AB525" s="3">
        <f t="shared" si="120"/>
        <v>7908874.2349646688</v>
      </c>
      <c r="AC525" s="3">
        <f t="shared" si="121"/>
        <v>-555895.36737677467</v>
      </c>
      <c r="AD525" s="3">
        <f t="shared" si="122"/>
        <v>7928386.4262508638</v>
      </c>
      <c r="AE525" s="3">
        <f t="shared" si="123"/>
        <v>7923874.2349646688</v>
      </c>
      <c r="AF525" s="3">
        <f t="shared" si="127"/>
        <v>-580895.36737677467</v>
      </c>
      <c r="AG525" s="3">
        <f t="shared" si="124"/>
        <v>7945138.2819543621</v>
      </c>
      <c r="AH525" s="3">
        <f t="shared" si="125"/>
        <v>1.934829321368025E-2</v>
      </c>
      <c r="AI525" s="3">
        <f t="shared" si="126"/>
        <v>-1.3846206297354225E-3</v>
      </c>
    </row>
    <row r="526" spans="19:35" x14ac:dyDescent="0.3">
      <c r="S526" s="6">
        <v>509</v>
      </c>
      <c r="T526" s="4">
        <f t="shared" si="112"/>
        <v>254.5</v>
      </c>
      <c r="U526" s="3">
        <f t="shared" si="113"/>
        <v>-7958304.7660194878</v>
      </c>
      <c r="V526" s="3">
        <f t="shared" si="114"/>
        <v>568304.73890003876</v>
      </c>
      <c r="W526" s="3">
        <f t="shared" si="115"/>
        <v>-29423.150218434319</v>
      </c>
      <c r="X526" s="3">
        <f t="shared" si="116"/>
        <v>2408.8433760773491</v>
      </c>
      <c r="Y526" s="3">
        <f t="shared" si="117"/>
        <v>7963590.7336770324</v>
      </c>
      <c r="Z526" s="3">
        <f t="shared" si="118"/>
        <v>-559600.14136518014</v>
      </c>
      <c r="AA526" s="3">
        <f t="shared" si="119"/>
        <v>7983228.0245351018</v>
      </c>
      <c r="AB526" s="3">
        <f t="shared" si="120"/>
        <v>7923590.7336770324</v>
      </c>
      <c r="AC526" s="3">
        <f t="shared" si="121"/>
        <v>-557100.14136518014</v>
      </c>
      <c r="AD526" s="3">
        <f t="shared" si="122"/>
        <v>7943151.1808803966</v>
      </c>
      <c r="AE526" s="3">
        <f t="shared" si="123"/>
        <v>7938590.7336770324</v>
      </c>
      <c r="AF526" s="3">
        <f t="shared" si="127"/>
        <v>-582100.14136518014</v>
      </c>
      <c r="AG526" s="3">
        <f t="shared" si="124"/>
        <v>7959903.4800304081</v>
      </c>
      <c r="AH526" s="3">
        <f t="shared" si="125"/>
        <v>1.9276621591338139E-2</v>
      </c>
      <c r="AI526" s="3">
        <f t="shared" si="126"/>
        <v>-1.3798592361755847E-3</v>
      </c>
    </row>
    <row r="527" spans="19:35" x14ac:dyDescent="0.3">
      <c r="S527" s="6">
        <v>510</v>
      </c>
      <c r="T527" s="4">
        <f t="shared" si="112"/>
        <v>255</v>
      </c>
      <c r="U527" s="3">
        <f t="shared" si="113"/>
        <v>-7973016.3363095494</v>
      </c>
      <c r="V527" s="3">
        <f t="shared" si="114"/>
        <v>569509.16024311259</v>
      </c>
      <c r="W527" s="3">
        <f t="shared" si="115"/>
        <v>-29418.234679928526</v>
      </c>
      <c r="X527" s="3">
        <f t="shared" si="116"/>
        <v>2408.4915119721245</v>
      </c>
      <c r="Y527" s="3">
        <f t="shared" si="117"/>
        <v>7978304.7660194878</v>
      </c>
      <c r="Z527" s="3">
        <f t="shared" si="118"/>
        <v>-560804.73890003876</v>
      </c>
      <c r="AA527" s="3">
        <f t="shared" si="119"/>
        <v>7997990.3034863714</v>
      </c>
      <c r="AB527" s="3">
        <f t="shared" si="120"/>
        <v>7938304.7660194878</v>
      </c>
      <c r="AC527" s="3">
        <f t="shared" si="121"/>
        <v>-558304.73890003876</v>
      </c>
      <c r="AD527" s="3">
        <f t="shared" si="122"/>
        <v>7957913.4664612906</v>
      </c>
      <c r="AE527" s="3">
        <f t="shared" si="123"/>
        <v>7953304.7660194878</v>
      </c>
      <c r="AF527" s="3">
        <f t="shared" si="127"/>
        <v>-583304.73890003876</v>
      </c>
      <c r="AG527" s="3">
        <f t="shared" si="124"/>
        <v>7974666.2074102852</v>
      </c>
      <c r="AH527" s="3">
        <f t="shared" si="125"/>
        <v>1.9205359349848249E-2</v>
      </c>
      <c r="AI527" s="3">
        <f t="shared" si="126"/>
        <v>-1.3751230677081926E-3</v>
      </c>
    </row>
    <row r="528" spans="19:35" x14ac:dyDescent="0.3">
      <c r="S528" s="6">
        <v>511</v>
      </c>
      <c r="T528" s="4">
        <f t="shared" si="112"/>
        <v>255.5</v>
      </c>
      <c r="U528" s="3">
        <f t="shared" si="113"/>
        <v>-7987725.448848174</v>
      </c>
      <c r="V528" s="3">
        <f t="shared" si="114"/>
        <v>570713.40565531794</v>
      </c>
      <c r="W528" s="3">
        <f t="shared" si="115"/>
        <v>-29413.327710614642</v>
      </c>
      <c r="X528" s="3">
        <f t="shared" si="116"/>
        <v>2408.1401680283252</v>
      </c>
      <c r="Y528" s="3">
        <f t="shared" si="117"/>
        <v>7993016.3363095494</v>
      </c>
      <c r="Z528" s="3">
        <f t="shared" si="118"/>
        <v>-562009.16024311259</v>
      </c>
      <c r="AA528" s="3">
        <f t="shared" si="119"/>
        <v>8012750.1177004455</v>
      </c>
      <c r="AB528" s="3">
        <f t="shared" si="120"/>
        <v>7953016.3363095494</v>
      </c>
      <c r="AC528" s="3">
        <f t="shared" si="121"/>
        <v>-559509.16024311259</v>
      </c>
      <c r="AD528" s="3">
        <f t="shared" si="122"/>
        <v>7972673.2872984661</v>
      </c>
      <c r="AE528" s="3">
        <f t="shared" si="123"/>
        <v>7968016.3363095494</v>
      </c>
      <c r="AF528" s="3">
        <f t="shared" si="127"/>
        <v>-584509.16024311259</v>
      </c>
      <c r="AG528" s="3">
        <f t="shared" si="124"/>
        <v>7989426.4684083527</v>
      </c>
      <c r="AH528" s="3">
        <f t="shared" si="125"/>
        <v>1.9134503337510621E-2</v>
      </c>
      <c r="AI528" s="3">
        <f t="shared" si="126"/>
        <v>-1.3704119446901102E-3</v>
      </c>
    </row>
    <row r="529" spans="19:35" x14ac:dyDescent="0.3">
      <c r="S529" s="6">
        <v>512</v>
      </c>
      <c r="T529" s="4">
        <f t="shared" si="112"/>
        <v>256</v>
      </c>
      <c r="U529" s="3">
        <f t="shared" si="113"/>
        <v>-8002432.107919856</v>
      </c>
      <c r="V529" s="3">
        <f t="shared" si="114"/>
        <v>571917.47539672919</v>
      </c>
      <c r="W529" s="3">
        <f t="shared" si="115"/>
        <v>-29408.429277760239</v>
      </c>
      <c r="X529" s="3">
        <f t="shared" si="116"/>
        <v>2407.7893425704847</v>
      </c>
      <c r="Y529" s="3">
        <f t="shared" si="117"/>
        <v>8007725.448848174</v>
      </c>
      <c r="Z529" s="3">
        <f t="shared" si="118"/>
        <v>-563213.40565531794</v>
      </c>
      <c r="AA529" s="3">
        <f t="shared" si="119"/>
        <v>8027507.471465881</v>
      </c>
      <c r="AB529" s="3">
        <f t="shared" si="120"/>
        <v>7967725.448848174</v>
      </c>
      <c r="AC529" s="3">
        <f t="shared" si="121"/>
        <v>-560713.40565531794</v>
      </c>
      <c r="AD529" s="3">
        <f t="shared" si="122"/>
        <v>7987430.6476804176</v>
      </c>
      <c r="AE529" s="3">
        <f t="shared" si="123"/>
        <v>7982725.448848174</v>
      </c>
      <c r="AF529" s="3">
        <f t="shared" si="127"/>
        <v>-585713.40565531794</v>
      </c>
      <c r="AG529" s="3">
        <f t="shared" si="124"/>
        <v>8004184.2673224751</v>
      </c>
      <c r="AH529" s="3">
        <f t="shared" si="125"/>
        <v>1.9064050433112135E-2</v>
      </c>
      <c r="AI529" s="3">
        <f t="shared" si="126"/>
        <v>-1.3657256890794889E-3</v>
      </c>
    </row>
    <row r="530" spans="19:35" x14ac:dyDescent="0.3">
      <c r="S530" s="6">
        <v>513</v>
      </c>
      <c r="T530" s="4">
        <f t="shared" ref="T530:T593" si="128">T529+$C$4</f>
        <v>256.5</v>
      </c>
      <c r="U530" s="3">
        <f t="shared" ref="U530:U593" si="129">U529+(W529*$C$4)+(AH529*POWER($C$4,2))</f>
        <v>-8017136.3177927239</v>
      </c>
      <c r="V530" s="3">
        <f t="shared" ref="V530:V593" si="130">V529+(X529*$C$4)+(AI529*POWER($C$4,2))</f>
        <v>573121.36972658301</v>
      </c>
      <c r="W530" s="3">
        <f t="shared" ref="W530:W593" si="131">W529+(AH529*T530)</f>
        <v>-29403.539348824146</v>
      </c>
      <c r="X530" s="3">
        <f t="shared" ref="X530:X593" si="132">X529+(AI529*T530)</f>
        <v>2407.4390339312358</v>
      </c>
      <c r="Y530" s="3">
        <f t="shared" ref="Y530:Y593" si="133">$C$19-U529</f>
        <v>8022432.107919856</v>
      </c>
      <c r="Z530" s="3">
        <f t="shared" ref="Z530:Z593" si="134">$C$20-V529</f>
        <v>-564417.47539672919</v>
      </c>
      <c r="AA530" s="3">
        <f t="shared" ref="AA530:AA593" si="135">SQRT(POWER(Y530,2)+POWER(Z530,2))</f>
        <v>8042262.369054907</v>
      </c>
      <c r="AB530" s="3">
        <f t="shared" ref="AB530:AB593" si="136">$F$19-U529</f>
        <v>7982432.107919856</v>
      </c>
      <c r="AC530" s="3">
        <f t="shared" ref="AC530:AC593" si="137">$F$20-V529</f>
        <v>-561917.47539672919</v>
      </c>
      <c r="AD530" s="3">
        <f t="shared" ref="AD530:AD593" si="138">SQRT(POWER(AB530,2)+POWER(AC530,2))</f>
        <v>8002185.5518793156</v>
      </c>
      <c r="AE530" s="3">
        <f t="shared" ref="AE530:AE593" si="139">$I$19-U529</f>
        <v>7997432.107919856</v>
      </c>
      <c r="AF530" s="3">
        <f t="shared" si="127"/>
        <v>-586917.47539672919</v>
      </c>
      <c r="AG530" s="3">
        <f t="shared" ref="AG530:AG593" si="140">SQRT(POWER(AE530,2)+POWER(AF530,2))</f>
        <v>8018939.6084341165</v>
      </c>
      <c r="AH530" s="3">
        <f t="shared" ref="AH530:AH593" si="141">($C$24*(Y530/POWER(POWER(AA530,2)+POWER($C$25,2),3/2)))+($F$24*(AB530/POWER(POWER(AD530,2)+POWER($F$25,2),3/2)))+($I$24*(AE530/POWER(POWER(AG530,2)+POWER($I$25,2),3/2)))</f>
        <v>1.899399754557159E-2</v>
      </c>
      <c r="AI530" s="3">
        <f t="shared" ref="AI530:AI593" si="142">$C$24*(Z530/POWER(POWER(AA530,2)+POWER($C$25,2),3/2))+$F$24*(AC530/POWER(POWER(AD530,2)+POWER($F$25,2),3/2))+$I$24*(AF530/POWER(POWER(AG530,2)+POWER($I$25,2),3/2))</f>
        <v>-1.3610641244186689E-3</v>
      </c>
    </row>
    <row r="531" spans="19:35" x14ac:dyDescent="0.3">
      <c r="S531" s="6">
        <v>514</v>
      </c>
      <c r="T531" s="4">
        <f t="shared" si="128"/>
        <v>257</v>
      </c>
      <c r="U531" s="3">
        <f t="shared" si="129"/>
        <v>-8031838.0827186368</v>
      </c>
      <c r="V531" s="3">
        <f t="shared" si="130"/>
        <v>574325.08890328254</v>
      </c>
      <c r="W531" s="3">
        <f t="shared" si="131"/>
        <v>-29398.657891454935</v>
      </c>
      <c r="X531" s="3">
        <f t="shared" si="132"/>
        <v>2407.0892404512601</v>
      </c>
      <c r="Y531" s="3">
        <f t="shared" si="133"/>
        <v>8037136.3177927239</v>
      </c>
      <c r="Z531" s="3">
        <f t="shared" si="134"/>
        <v>-565621.36972658301</v>
      </c>
      <c r="AA531" s="3">
        <f t="shared" si="135"/>
        <v>8057014.8147235122</v>
      </c>
      <c r="AB531" s="3">
        <f t="shared" si="136"/>
        <v>7997136.3177927239</v>
      </c>
      <c r="AC531" s="3">
        <f t="shared" si="137"/>
        <v>-563121.36972658301</v>
      </c>
      <c r="AD531" s="3">
        <f t="shared" si="138"/>
        <v>8016938.0041510928</v>
      </c>
      <c r="AE531" s="3">
        <f t="shared" si="139"/>
        <v>8012136.3177927239</v>
      </c>
      <c r="AF531" s="3">
        <f t="shared" ref="AF531:AF594" si="143">$I$20-V530</f>
        <v>-588121.36972658301</v>
      </c>
      <c r="AG531" s="3">
        <f t="shared" si="140"/>
        <v>8033692.4960084334</v>
      </c>
      <c r="AH531" s="3">
        <f t="shared" si="141"/>
        <v>1.8924341613589954E-2</v>
      </c>
      <c r="AI531" s="3">
        <f t="shared" si="142"/>
        <v>-1.3564270758173198E-3</v>
      </c>
    </row>
    <row r="532" spans="19:35" x14ac:dyDescent="0.3">
      <c r="S532" s="6">
        <v>515</v>
      </c>
      <c r="T532" s="4">
        <f t="shared" si="128"/>
        <v>257.5</v>
      </c>
      <c r="U532" s="3">
        <f t="shared" si="129"/>
        <v>-8046537.4069332788</v>
      </c>
      <c r="V532" s="3">
        <f t="shared" si="130"/>
        <v>575528.63318440143</v>
      </c>
      <c r="W532" s="3">
        <f t="shared" si="131"/>
        <v>-29393.784873489436</v>
      </c>
      <c r="X532" s="3">
        <f t="shared" si="132"/>
        <v>2406.7399604792372</v>
      </c>
      <c r="Y532" s="3">
        <f t="shared" si="133"/>
        <v>8051838.0827186368</v>
      </c>
      <c r="Z532" s="3">
        <f t="shared" si="134"/>
        <v>-566825.08890328254</v>
      </c>
      <c r="AA532" s="3">
        <f t="shared" si="135"/>
        <v>8071764.8127115509</v>
      </c>
      <c r="AB532" s="3">
        <f t="shared" si="136"/>
        <v>8011838.0827186368</v>
      </c>
      <c r="AC532" s="3">
        <f t="shared" si="137"/>
        <v>-564325.08890328254</v>
      </c>
      <c r="AD532" s="3">
        <f t="shared" si="138"/>
        <v>8031688.008735544</v>
      </c>
      <c r="AE532" s="3">
        <f t="shared" si="139"/>
        <v>8026838.0827186368</v>
      </c>
      <c r="AF532" s="3">
        <f t="shared" si="143"/>
        <v>-589325.08890328254</v>
      </c>
      <c r="AG532" s="3">
        <f t="shared" si="140"/>
        <v>8048442.9342943756</v>
      </c>
      <c r="AH532" s="3">
        <f t="shared" si="141"/>
        <v>1.8855079605304775E-2</v>
      </c>
      <c r="AI532" s="3">
        <f t="shared" si="142"/>
        <v>-1.3518143699357463E-3</v>
      </c>
    </row>
    <row r="533" spans="19:35" x14ac:dyDescent="0.3">
      <c r="S533" s="6">
        <v>516</v>
      </c>
      <c r="T533" s="4">
        <f t="shared" si="128"/>
        <v>258</v>
      </c>
      <c r="U533" s="3">
        <f t="shared" si="129"/>
        <v>-8061234.2946562534</v>
      </c>
      <c r="V533" s="3">
        <f t="shared" si="130"/>
        <v>576732.00282668753</v>
      </c>
      <c r="W533" s="3">
        <f t="shared" si="131"/>
        <v>-29388.920262951266</v>
      </c>
      <c r="X533" s="3">
        <f t="shared" si="132"/>
        <v>2406.3911923717937</v>
      </c>
      <c r="Y533" s="3">
        <f t="shared" si="133"/>
        <v>8066537.4069332788</v>
      </c>
      <c r="Z533" s="3">
        <f t="shared" si="134"/>
        <v>-568028.63318440143</v>
      </c>
      <c r="AA533" s="3">
        <f t="shared" si="135"/>
        <v>8086512.367242828</v>
      </c>
      <c r="AB533" s="3">
        <f t="shared" si="136"/>
        <v>8026537.4069332788</v>
      </c>
      <c r="AC533" s="3">
        <f t="shared" si="137"/>
        <v>-565528.63318440143</v>
      </c>
      <c r="AD533" s="3">
        <f t="shared" si="138"/>
        <v>8046435.5698564202</v>
      </c>
      <c r="AE533" s="3">
        <f t="shared" si="139"/>
        <v>8041537.4069332788</v>
      </c>
      <c r="AF533" s="3">
        <f t="shared" si="143"/>
        <v>-590528.63318440143</v>
      </c>
      <c r="AG533" s="3">
        <f t="shared" si="140"/>
        <v>8063190.9275247753</v>
      </c>
      <c r="AH533" s="3">
        <f t="shared" si="141"/>
        <v>1.8786208517950171E-2</v>
      </c>
      <c r="AI533" s="3">
        <f t="shared" si="142"/>
        <v>-1.3472258349684673E-3</v>
      </c>
    </row>
    <row r="534" spans="19:35" x14ac:dyDescent="0.3">
      <c r="S534" s="6">
        <v>517</v>
      </c>
      <c r="T534" s="4">
        <f t="shared" si="128"/>
        <v>258.5</v>
      </c>
      <c r="U534" s="3">
        <f t="shared" si="129"/>
        <v>-8075928.7500911774</v>
      </c>
      <c r="V534" s="3">
        <f t="shared" si="130"/>
        <v>577935.19808606699</v>
      </c>
      <c r="W534" s="3">
        <f t="shared" si="131"/>
        <v>-29384.064028049375</v>
      </c>
      <c r="X534" s="3">
        <f t="shared" si="132"/>
        <v>2406.0429344934546</v>
      </c>
      <c r="Y534" s="3">
        <f t="shared" si="133"/>
        <v>8081234.2946562534</v>
      </c>
      <c r="Z534" s="3">
        <f t="shared" si="134"/>
        <v>-569232.00282668753</v>
      </c>
      <c r="AA534" s="3">
        <f t="shared" si="135"/>
        <v>8101257.4825251941</v>
      </c>
      <c r="AB534" s="3">
        <f t="shared" si="136"/>
        <v>8041234.2946562534</v>
      </c>
      <c r="AC534" s="3">
        <f t="shared" si="137"/>
        <v>-566732.00282668753</v>
      </c>
      <c r="AD534" s="3">
        <f t="shared" si="138"/>
        <v>8061180.6917215167</v>
      </c>
      <c r="AE534" s="3">
        <f t="shared" si="139"/>
        <v>8056234.2946562534</v>
      </c>
      <c r="AF534" s="3">
        <f t="shared" si="143"/>
        <v>-591732.00282668753</v>
      </c>
      <c r="AG534" s="3">
        <f t="shared" si="140"/>
        <v>8077936.4799164413</v>
      </c>
      <c r="AH534" s="3">
        <f t="shared" si="141"/>
        <v>1.8717725377520443E-2</v>
      </c>
      <c r="AI534" s="3">
        <f t="shared" si="142"/>
        <v>-1.3426613006279231E-3</v>
      </c>
    </row>
    <row r="535" spans="19:35" x14ac:dyDescent="0.3">
      <c r="S535" s="6">
        <v>518</v>
      </c>
      <c r="T535" s="4">
        <f t="shared" si="128"/>
        <v>259</v>
      </c>
      <c r="U535" s="3">
        <f t="shared" si="129"/>
        <v>-8090620.7774257706</v>
      </c>
      <c r="V535" s="3">
        <f t="shared" si="130"/>
        <v>579138.21921764838</v>
      </c>
      <c r="W535" s="3">
        <f t="shared" si="131"/>
        <v>-29379.216137176598</v>
      </c>
      <c r="X535" s="3">
        <f t="shared" si="132"/>
        <v>2405.6951852165921</v>
      </c>
      <c r="Y535" s="3">
        <f t="shared" si="133"/>
        <v>8095928.7500911774</v>
      </c>
      <c r="Z535" s="3">
        <f t="shared" si="134"/>
        <v>-570435.19808606699</v>
      </c>
      <c r="AA535" s="3">
        <f t="shared" si="135"/>
        <v>8116000.1627506381</v>
      </c>
      <c r="AB535" s="3">
        <f t="shared" si="136"/>
        <v>8055928.7500911774</v>
      </c>
      <c r="AC535" s="3">
        <f t="shared" si="137"/>
        <v>-567935.19808606699</v>
      </c>
      <c r="AD535" s="3">
        <f t="shared" si="138"/>
        <v>8075923.3785227723</v>
      </c>
      <c r="AE535" s="3">
        <f t="shared" si="139"/>
        <v>8070928.7500911774</v>
      </c>
      <c r="AF535" s="3">
        <f t="shared" si="143"/>
        <v>-592935.19808606699</v>
      </c>
      <c r="AG535" s="3">
        <f t="shared" si="140"/>
        <v>8092679.5956702568</v>
      </c>
      <c r="AH535" s="3">
        <f t="shared" si="141"/>
        <v>1.8649627238438611E-2</v>
      </c>
      <c r="AI535" s="3">
        <f t="shared" si="142"/>
        <v>-1.338120598128415E-3</v>
      </c>
    </row>
    <row r="536" spans="19:35" x14ac:dyDescent="0.3">
      <c r="S536" s="6">
        <v>519</v>
      </c>
      <c r="T536" s="4">
        <f t="shared" si="128"/>
        <v>259.5</v>
      </c>
      <c r="U536" s="3">
        <f t="shared" si="129"/>
        <v>-8105310.3808319522</v>
      </c>
      <c r="V536" s="3">
        <f t="shared" si="130"/>
        <v>580341.06647572655</v>
      </c>
      <c r="W536" s="3">
        <f t="shared" si="131"/>
        <v>-29374.376558908221</v>
      </c>
      <c r="X536" s="3">
        <f t="shared" si="132"/>
        <v>2405.3479429213776</v>
      </c>
      <c r="Y536" s="3">
        <f t="shared" si="133"/>
        <v>8110620.7774257706</v>
      </c>
      <c r="Z536" s="3">
        <f t="shared" si="134"/>
        <v>-571638.21921764838</v>
      </c>
      <c r="AA536" s="3">
        <f t="shared" si="135"/>
        <v>8130740.4120953791</v>
      </c>
      <c r="AB536" s="3">
        <f t="shared" si="136"/>
        <v>8070620.7774257706</v>
      </c>
      <c r="AC536" s="3">
        <f t="shared" si="137"/>
        <v>-569138.21921764838</v>
      </c>
      <c r="AD536" s="3">
        <f t="shared" si="138"/>
        <v>8090663.6344363485</v>
      </c>
      <c r="AE536" s="3">
        <f t="shared" si="139"/>
        <v>8085620.7774257706</v>
      </c>
      <c r="AF536" s="3">
        <f t="shared" si="143"/>
        <v>-594138.21921764838</v>
      </c>
      <c r="AG536" s="3">
        <f t="shared" si="140"/>
        <v>8107420.2789712604</v>
      </c>
      <c r="AH536" s="3">
        <f t="shared" si="141"/>
        <v>1.8581911183229993E-2</v>
      </c>
      <c r="AI536" s="3">
        <f t="shared" si="142"/>
        <v>-1.3336035601702813E-3</v>
      </c>
    </row>
    <row r="537" spans="19:35" x14ac:dyDescent="0.3">
      <c r="S537" s="6">
        <v>520</v>
      </c>
      <c r="T537" s="4">
        <f t="shared" si="128"/>
        <v>260</v>
      </c>
      <c r="U537" s="3">
        <f t="shared" si="129"/>
        <v>-8119997.5644659279</v>
      </c>
      <c r="V537" s="3">
        <f t="shared" si="130"/>
        <v>581543.74011378631</v>
      </c>
      <c r="W537" s="3">
        <f t="shared" si="131"/>
        <v>-29369.545262000582</v>
      </c>
      <c r="X537" s="3">
        <f t="shared" si="132"/>
        <v>2405.0012059957335</v>
      </c>
      <c r="Y537" s="3">
        <f t="shared" si="133"/>
        <v>8125310.3808319522</v>
      </c>
      <c r="Z537" s="3">
        <f t="shared" si="134"/>
        <v>-572841.06647572655</v>
      </c>
      <c r="AA537" s="3">
        <f t="shared" si="135"/>
        <v>8145478.2347199563</v>
      </c>
      <c r="AB537" s="3">
        <f t="shared" si="136"/>
        <v>8085310.3808319522</v>
      </c>
      <c r="AC537" s="3">
        <f t="shared" si="137"/>
        <v>-570341.06647572655</v>
      </c>
      <c r="AD537" s="3">
        <f t="shared" si="138"/>
        <v>8105401.4636227367</v>
      </c>
      <c r="AE537" s="3">
        <f t="shared" si="139"/>
        <v>8100310.3808319522</v>
      </c>
      <c r="AF537" s="3">
        <f t="shared" si="143"/>
        <v>-595341.06647572655</v>
      </c>
      <c r="AG537" s="3">
        <f t="shared" si="140"/>
        <v>8122158.5339887533</v>
      </c>
      <c r="AH537" s="3">
        <f t="shared" si="141"/>
        <v>1.8514574322199009E-2</v>
      </c>
      <c r="AI537" s="3">
        <f t="shared" si="142"/>
        <v>-1.3291100209241883E-3</v>
      </c>
    </row>
    <row r="538" spans="19:35" x14ac:dyDescent="0.3">
      <c r="S538" s="6">
        <v>521</v>
      </c>
      <c r="T538" s="4">
        <f t="shared" si="128"/>
        <v>260.5</v>
      </c>
      <c r="U538" s="3">
        <f t="shared" si="129"/>
        <v>-8134682.3324682852</v>
      </c>
      <c r="V538" s="3">
        <f t="shared" si="130"/>
        <v>582746.24038450664</v>
      </c>
      <c r="W538" s="3">
        <f t="shared" si="131"/>
        <v>-29364.722215389647</v>
      </c>
      <c r="X538" s="3">
        <f t="shared" si="132"/>
        <v>2404.6549728352829</v>
      </c>
      <c r="Y538" s="3">
        <f t="shared" si="133"/>
        <v>8139997.5644659279</v>
      </c>
      <c r="Z538" s="3">
        <f t="shared" si="134"/>
        <v>-574043.74011378631</v>
      </c>
      <c r="AA538" s="3">
        <f t="shared" si="135"/>
        <v>8160213.6347693168</v>
      </c>
      <c r="AB538" s="3">
        <f t="shared" si="136"/>
        <v>8099997.5644659279</v>
      </c>
      <c r="AC538" s="3">
        <f t="shared" si="137"/>
        <v>-571543.74011378631</v>
      </c>
      <c r="AD538" s="3">
        <f t="shared" si="138"/>
        <v>8120136.8702268321</v>
      </c>
      <c r="AE538" s="3">
        <f t="shared" si="139"/>
        <v>8114997.5644659279</v>
      </c>
      <c r="AF538" s="3">
        <f t="shared" si="143"/>
        <v>-596543.74011378631</v>
      </c>
      <c r="AG538" s="3">
        <f t="shared" si="140"/>
        <v>8136894.3648763737</v>
      </c>
      <c r="AH538" s="3">
        <f t="shared" si="141"/>
        <v>1.8447613793111592E-2</v>
      </c>
      <c r="AI538" s="3">
        <f t="shared" si="142"/>
        <v>-1.3246398160156971E-3</v>
      </c>
    </row>
    <row r="539" spans="19:35" x14ac:dyDescent="0.3">
      <c r="S539" s="6">
        <v>522</v>
      </c>
      <c r="T539" s="4">
        <f t="shared" si="128"/>
        <v>261</v>
      </c>
      <c r="U539" s="3">
        <f t="shared" si="129"/>
        <v>-8149364.6889640763</v>
      </c>
      <c r="V539" s="3">
        <f t="shared" si="130"/>
        <v>583948.56753976434</v>
      </c>
      <c r="W539" s="3">
        <f t="shared" si="131"/>
        <v>-29359.907388189644</v>
      </c>
      <c r="X539" s="3">
        <f t="shared" si="132"/>
        <v>2404.309241843303</v>
      </c>
      <c r="Y539" s="3">
        <f t="shared" si="133"/>
        <v>8154682.3324682852</v>
      </c>
      <c r="Z539" s="3">
        <f t="shared" si="134"/>
        <v>-575246.24038450664</v>
      </c>
      <c r="AA539" s="3">
        <f t="shared" si="135"/>
        <v>8174946.6163729103</v>
      </c>
      <c r="AB539" s="3">
        <f t="shared" si="136"/>
        <v>8114682.3324682852</v>
      </c>
      <c r="AC539" s="3">
        <f t="shared" si="137"/>
        <v>-572746.24038450664</v>
      </c>
      <c r="AD539" s="3">
        <f t="shared" si="138"/>
        <v>8134869.8583780378</v>
      </c>
      <c r="AE539" s="3">
        <f t="shared" si="139"/>
        <v>8129682.3324682852</v>
      </c>
      <c r="AF539" s="3">
        <f t="shared" si="143"/>
        <v>-597746.24038450664</v>
      </c>
      <c r="AG539" s="3">
        <f t="shared" si="140"/>
        <v>8151627.7757721981</v>
      </c>
      <c r="AH539" s="3">
        <f t="shared" si="141"/>
        <v>1.8381026760880437E-2</v>
      </c>
      <c r="AI539" s="3">
        <f t="shared" si="142"/>
        <v>-1.3201927825099264E-3</v>
      </c>
    </row>
    <row r="540" spans="19:35" x14ac:dyDescent="0.3">
      <c r="S540" s="6">
        <v>523</v>
      </c>
      <c r="T540" s="4">
        <f t="shared" si="128"/>
        <v>261.5</v>
      </c>
      <c r="U540" s="3">
        <f t="shared" si="129"/>
        <v>-8164044.6380629148</v>
      </c>
      <c r="V540" s="3">
        <f t="shared" si="130"/>
        <v>585150.72183063789</v>
      </c>
      <c r="W540" s="3">
        <f t="shared" si="131"/>
        <v>-29355.100749691672</v>
      </c>
      <c r="X540" s="3">
        <f t="shared" si="132"/>
        <v>2403.9640114306767</v>
      </c>
      <c r="Y540" s="3">
        <f t="shared" si="133"/>
        <v>8169364.6889640763</v>
      </c>
      <c r="Z540" s="3">
        <f t="shared" si="134"/>
        <v>-576448.56753976434</v>
      </c>
      <c r="AA540" s="3">
        <f t="shared" si="135"/>
        <v>8189677.1836447725</v>
      </c>
      <c r="AB540" s="3">
        <f t="shared" si="136"/>
        <v>8129364.6889640763</v>
      </c>
      <c r="AC540" s="3">
        <f t="shared" si="137"/>
        <v>-573948.56753976434</v>
      </c>
      <c r="AD540" s="3">
        <f t="shared" si="138"/>
        <v>8149600.4321903372</v>
      </c>
      <c r="AE540" s="3">
        <f t="shared" si="139"/>
        <v>8144364.6889640763</v>
      </c>
      <c r="AF540" s="3">
        <f t="shared" si="143"/>
        <v>-598948.56753976434</v>
      </c>
      <c r="AG540" s="3">
        <f t="shared" si="140"/>
        <v>8166358.7707988219</v>
      </c>
      <c r="AH540" s="3">
        <f t="shared" si="141"/>
        <v>1.831481041725587E-2</v>
      </c>
      <c r="AI540" s="3">
        <f t="shared" si="142"/>
        <v>-1.3157687588964994E-3</v>
      </c>
    </row>
    <row r="541" spans="19:35" x14ac:dyDescent="0.3">
      <c r="S541" s="6">
        <v>524</v>
      </c>
      <c r="T541" s="4">
        <f t="shared" si="128"/>
        <v>262</v>
      </c>
      <c r="U541" s="3">
        <f t="shared" si="129"/>
        <v>-8178722.1838590587</v>
      </c>
      <c r="V541" s="3">
        <f t="shared" si="130"/>
        <v>586352.70350741106</v>
      </c>
      <c r="W541" s="3">
        <f t="shared" si="131"/>
        <v>-29350.30226936235</v>
      </c>
      <c r="X541" s="3">
        <f t="shared" si="132"/>
        <v>2403.619280015846</v>
      </c>
      <c r="Y541" s="3">
        <f t="shared" si="133"/>
        <v>8184044.6380629148</v>
      </c>
      <c r="Z541" s="3">
        <f t="shared" si="134"/>
        <v>-577650.72183063789</v>
      </c>
      <c r="AA541" s="3">
        <f t="shared" si="135"/>
        <v>8204405.340683613</v>
      </c>
      <c r="AB541" s="3">
        <f t="shared" si="136"/>
        <v>8144044.6380629148</v>
      </c>
      <c r="AC541" s="3">
        <f t="shared" si="137"/>
        <v>-575150.72183063789</v>
      </c>
      <c r="AD541" s="3">
        <f t="shared" si="138"/>
        <v>8164328.5957623981</v>
      </c>
      <c r="AE541" s="3">
        <f t="shared" si="139"/>
        <v>8159044.6380629148</v>
      </c>
      <c r="AF541" s="3">
        <f t="shared" si="143"/>
        <v>-600150.72183063789</v>
      </c>
      <c r="AG541" s="3">
        <f t="shared" si="140"/>
        <v>8181087.3540634587</v>
      </c>
      <c r="AH541" s="3">
        <f t="shared" si="141"/>
        <v>1.8248961980519979E-2</v>
      </c>
      <c r="AI541" s="3">
        <f t="shared" si="142"/>
        <v>-1.3113675850746119E-3</v>
      </c>
    </row>
    <row r="542" spans="19:35" x14ac:dyDescent="0.3">
      <c r="S542" s="6">
        <v>525</v>
      </c>
      <c r="T542" s="4">
        <f t="shared" si="128"/>
        <v>262.5</v>
      </c>
      <c r="U542" s="3">
        <f t="shared" si="129"/>
        <v>-8193397.3304314995</v>
      </c>
      <c r="V542" s="3">
        <f t="shared" si="130"/>
        <v>587554.51281957712</v>
      </c>
      <c r="W542" s="3">
        <f t="shared" si="131"/>
        <v>-29345.511916842464</v>
      </c>
      <c r="X542" s="3">
        <f t="shared" si="132"/>
        <v>2403.2750460247639</v>
      </c>
      <c r="Y542" s="3">
        <f t="shared" si="133"/>
        <v>8198722.1838590587</v>
      </c>
      <c r="Z542" s="3">
        <f t="shared" si="134"/>
        <v>-578852.70350741106</v>
      </c>
      <c r="AA542" s="3">
        <f t="shared" si="135"/>
        <v>8219131.0915729096</v>
      </c>
      <c r="AB542" s="3">
        <f t="shared" si="136"/>
        <v>8158722.1838590587</v>
      </c>
      <c r="AC542" s="3">
        <f t="shared" si="137"/>
        <v>-576352.70350741106</v>
      </c>
      <c r="AD542" s="3">
        <f t="shared" si="138"/>
        <v>8179054.353177648</v>
      </c>
      <c r="AE542" s="3">
        <f t="shared" si="139"/>
        <v>8173722.1838590587</v>
      </c>
      <c r="AF542" s="3">
        <f t="shared" si="143"/>
        <v>-601352.70350741106</v>
      </c>
      <c r="AG542" s="3">
        <f t="shared" si="140"/>
        <v>8195813.5296580149</v>
      </c>
      <c r="AH542" s="3">
        <f t="shared" si="141"/>
        <v>1.8183478695184961E-2</v>
      </c>
      <c r="AI542" s="3">
        <f t="shared" si="142"/>
        <v>-1.3069891023382955E-3</v>
      </c>
    </row>
    <row r="543" spans="19:35" x14ac:dyDescent="0.3">
      <c r="S543" s="6">
        <v>526</v>
      </c>
      <c r="T543" s="4">
        <f t="shared" si="128"/>
        <v>263</v>
      </c>
      <c r="U543" s="3">
        <f t="shared" si="129"/>
        <v>-8208070.0818440514</v>
      </c>
      <c r="V543" s="3">
        <f t="shared" si="130"/>
        <v>588756.15001584217</v>
      </c>
      <c r="W543" s="3">
        <f t="shared" si="131"/>
        <v>-29340.729661945632</v>
      </c>
      <c r="X543" s="3">
        <f t="shared" si="132"/>
        <v>2402.931307890849</v>
      </c>
      <c r="Y543" s="3">
        <f t="shared" si="133"/>
        <v>8213397.3304314995</v>
      </c>
      <c r="Z543" s="3">
        <f t="shared" si="134"/>
        <v>-580054.51281957712</v>
      </c>
      <c r="AA543" s="3">
        <f t="shared" si="135"/>
        <v>8233854.440380984</v>
      </c>
      <c r="AB543" s="3">
        <f t="shared" si="136"/>
        <v>8173397.3304314995</v>
      </c>
      <c r="AC543" s="3">
        <f t="shared" si="137"/>
        <v>-577554.51281957712</v>
      </c>
      <c r="AD543" s="3">
        <f t="shared" si="138"/>
        <v>8193777.7085043639</v>
      </c>
      <c r="AE543" s="3">
        <f t="shared" si="139"/>
        <v>8188397.3304314995</v>
      </c>
      <c r="AF543" s="3">
        <f t="shared" si="143"/>
        <v>-602554.51281957712</v>
      </c>
      <c r="AG543" s="3">
        <f t="shared" si="140"/>
        <v>8210537.3016591882</v>
      </c>
      <c r="AH543" s="3">
        <f t="shared" si="141"/>
        <v>1.8118357831695471E-2</v>
      </c>
      <c r="AI543" s="3">
        <f t="shared" si="142"/>
        <v>-1.3026331533618565E-3</v>
      </c>
    </row>
    <row r="544" spans="19:35" x14ac:dyDescent="0.3">
      <c r="S544" s="6">
        <v>527</v>
      </c>
      <c r="T544" s="4">
        <f t="shared" si="128"/>
        <v>263.5</v>
      </c>
      <c r="U544" s="3">
        <f t="shared" si="129"/>
        <v>-8222740.4421454342</v>
      </c>
      <c r="V544" s="3">
        <f t="shared" si="130"/>
        <v>589957.61534412939</v>
      </c>
      <c r="W544" s="3">
        <f t="shared" si="131"/>
        <v>-29335.955474656981</v>
      </c>
      <c r="X544" s="3">
        <f t="shared" si="132"/>
        <v>2402.5880640549381</v>
      </c>
      <c r="Y544" s="3">
        <f t="shared" si="133"/>
        <v>8228070.0818440514</v>
      </c>
      <c r="Z544" s="3">
        <f t="shared" si="134"/>
        <v>-581256.15001584217</v>
      </c>
      <c r="AA544" s="3">
        <f t="shared" si="135"/>
        <v>8248575.3911610954</v>
      </c>
      <c r="AB544" s="3">
        <f t="shared" si="136"/>
        <v>8188070.0818440514</v>
      </c>
      <c r="AC544" s="3">
        <f t="shared" si="137"/>
        <v>-578756.15001584217</v>
      </c>
      <c r="AD544" s="3">
        <f t="shared" si="138"/>
        <v>8208498.6657957621</v>
      </c>
      <c r="AE544" s="3">
        <f t="shared" si="139"/>
        <v>8203070.0818440514</v>
      </c>
      <c r="AF544" s="3">
        <f t="shared" si="143"/>
        <v>-603756.15001584217</v>
      </c>
      <c r="AG544" s="3">
        <f t="shared" si="140"/>
        <v>8225258.6741285482</v>
      </c>
      <c r="AH544" s="3">
        <f t="shared" si="141"/>
        <v>1.8053596686135341E-2</v>
      </c>
      <c r="AI544" s="3">
        <f t="shared" si="142"/>
        <v>-1.2982995821855254E-3</v>
      </c>
    </row>
    <row r="545" spans="19:35" x14ac:dyDescent="0.3">
      <c r="S545" s="6">
        <v>528</v>
      </c>
      <c r="T545" s="4">
        <f t="shared" si="128"/>
        <v>264</v>
      </c>
      <c r="U545" s="3">
        <f t="shared" si="129"/>
        <v>-8237408.4153693635</v>
      </c>
      <c r="V545" s="3">
        <f t="shared" si="130"/>
        <v>591158.90905158198</v>
      </c>
      <c r="W545" s="3">
        <f t="shared" si="131"/>
        <v>-29331.18932513184</v>
      </c>
      <c r="X545" s="3">
        <f t="shared" si="132"/>
        <v>2402.2453129652413</v>
      </c>
      <c r="Y545" s="3">
        <f t="shared" si="133"/>
        <v>8242740.4421454342</v>
      </c>
      <c r="Z545" s="3">
        <f t="shared" si="134"/>
        <v>-582457.61534412939</v>
      </c>
      <c r="AA545" s="3">
        <f t="shared" si="135"/>
        <v>8263293.9479515236</v>
      </c>
      <c r="AB545" s="3">
        <f t="shared" si="136"/>
        <v>8202740.4421454342</v>
      </c>
      <c r="AC545" s="3">
        <f t="shared" si="137"/>
        <v>-579957.61534412939</v>
      </c>
      <c r="AD545" s="3">
        <f t="shared" si="138"/>
        <v>8223217.2290900797</v>
      </c>
      <c r="AE545" s="3">
        <f t="shared" si="139"/>
        <v>8217740.4421454342</v>
      </c>
      <c r="AF545" s="3">
        <f t="shared" si="143"/>
        <v>-604957.61534412939</v>
      </c>
      <c r="AG545" s="3">
        <f t="shared" si="140"/>
        <v>8239977.6511126226</v>
      </c>
      <c r="AH545" s="3">
        <f t="shared" si="141"/>
        <v>1.7989192579937273E-2</v>
      </c>
      <c r="AI545" s="3">
        <f t="shared" si="142"/>
        <v>-1.2939882342012114E-3</v>
      </c>
    </row>
    <row r="546" spans="19:35" x14ac:dyDescent="0.3">
      <c r="S546" s="6">
        <v>529</v>
      </c>
      <c r="T546" s="4">
        <f t="shared" si="128"/>
        <v>264.5</v>
      </c>
      <c r="U546" s="3">
        <f t="shared" si="129"/>
        <v>-8252074.0055346312</v>
      </c>
      <c r="V546" s="3">
        <f t="shared" si="130"/>
        <v>592360.0313845675</v>
      </c>
      <c r="W546" s="3">
        <f t="shared" si="131"/>
        <v>-29326.431183694447</v>
      </c>
      <c r="X546" s="3">
        <f t="shared" si="132"/>
        <v>2401.9030530772952</v>
      </c>
      <c r="Y546" s="3">
        <f t="shared" si="133"/>
        <v>8257408.4153693635</v>
      </c>
      <c r="Z546" s="3">
        <f t="shared" si="134"/>
        <v>-583658.90905158198</v>
      </c>
      <c r="AA546" s="3">
        <f t="shared" si="135"/>
        <v>8278010.1147756558</v>
      </c>
      <c r="AB546" s="3">
        <f t="shared" si="136"/>
        <v>8217408.4153693635</v>
      </c>
      <c r="AC546" s="3">
        <f t="shared" si="137"/>
        <v>-581158.90905158198</v>
      </c>
      <c r="AD546" s="3">
        <f t="shared" si="138"/>
        <v>8237933.402410659</v>
      </c>
      <c r="AE546" s="3">
        <f t="shared" si="139"/>
        <v>8232408.4153693635</v>
      </c>
      <c r="AF546" s="3">
        <f t="shared" si="143"/>
        <v>-606158.90905158198</v>
      </c>
      <c r="AG546" s="3">
        <f t="shared" si="140"/>
        <v>8254694.2366429847</v>
      </c>
      <c r="AH546" s="3">
        <f t="shared" si="141"/>
        <v>1.792514285959743E-2</v>
      </c>
      <c r="AI546" s="3">
        <f t="shared" si="142"/>
        <v>-1.2896989561385071E-3</v>
      </c>
    </row>
    <row r="547" spans="19:35" x14ac:dyDescent="0.3">
      <c r="S547" s="6">
        <v>530</v>
      </c>
      <c r="T547" s="4">
        <f t="shared" si="128"/>
        <v>265</v>
      </c>
      <c r="U547" s="3">
        <f t="shared" si="129"/>
        <v>-8266737.2166451924</v>
      </c>
      <c r="V547" s="3">
        <f t="shared" si="130"/>
        <v>593560.98258868151</v>
      </c>
      <c r="W547" s="3">
        <f t="shared" si="131"/>
        <v>-29321.681020836655</v>
      </c>
      <c r="X547" s="3">
        <f t="shared" si="132"/>
        <v>2401.5612828539183</v>
      </c>
      <c r="Y547" s="3">
        <f t="shared" si="133"/>
        <v>8272074.0055346312</v>
      </c>
      <c r="Z547" s="3">
        <f t="shared" si="134"/>
        <v>-584860.0313845675</v>
      </c>
      <c r="AA547" s="3">
        <f t="shared" si="135"/>
        <v>8292723.8956420654</v>
      </c>
      <c r="AB547" s="3">
        <f t="shared" si="136"/>
        <v>8232074.0055346312</v>
      </c>
      <c r="AC547" s="3">
        <f t="shared" si="137"/>
        <v>-582360.0313845675</v>
      </c>
      <c r="AD547" s="3">
        <f t="shared" si="138"/>
        <v>8252647.1897660345</v>
      </c>
      <c r="AE547" s="3">
        <f t="shared" si="139"/>
        <v>8247074.0055346312</v>
      </c>
      <c r="AF547" s="3">
        <f t="shared" si="143"/>
        <v>-607360.0313845675</v>
      </c>
      <c r="AG547" s="3">
        <f t="shared" si="140"/>
        <v>8269408.4347363375</v>
      </c>
      <c r="AH547" s="3">
        <f t="shared" si="141"/>
        <v>1.7861444896392988E-2</v>
      </c>
      <c r="AI547" s="3">
        <f t="shared" si="142"/>
        <v>-1.2854315960508043E-3</v>
      </c>
    </row>
    <row r="548" spans="19:35" x14ac:dyDescent="0.3">
      <c r="S548" s="6">
        <v>531</v>
      </c>
      <c r="T548" s="4">
        <f t="shared" si="128"/>
        <v>265.5</v>
      </c>
      <c r="U548" s="3">
        <f t="shared" si="129"/>
        <v>-8281398.0526902499</v>
      </c>
      <c r="V548" s="3">
        <f t="shared" si="130"/>
        <v>594761.76290875056</v>
      </c>
      <c r="W548" s="3">
        <f t="shared" si="131"/>
        <v>-29316.938807216662</v>
      </c>
      <c r="X548" s="3">
        <f t="shared" si="132"/>
        <v>2401.2200007651668</v>
      </c>
      <c r="Y548" s="3">
        <f t="shared" si="133"/>
        <v>8286737.2166451924</v>
      </c>
      <c r="Z548" s="3">
        <f t="shared" si="134"/>
        <v>-586060.98258868151</v>
      </c>
      <c r="AA548" s="3">
        <f t="shared" si="135"/>
        <v>8307435.2945446</v>
      </c>
      <c r="AB548" s="3">
        <f t="shared" si="136"/>
        <v>8246737.2166451924</v>
      </c>
      <c r="AC548" s="3">
        <f t="shared" si="137"/>
        <v>-583560.98258868151</v>
      </c>
      <c r="AD548" s="3">
        <f t="shared" si="138"/>
        <v>8267358.5951500107</v>
      </c>
      <c r="AE548" s="3">
        <f t="shared" si="139"/>
        <v>8261737.2166451924</v>
      </c>
      <c r="AF548" s="3">
        <f t="shared" si="143"/>
        <v>-608560.98258868151</v>
      </c>
      <c r="AG548" s="3">
        <f t="shared" si="140"/>
        <v>8284120.2493945947</v>
      </c>
      <c r="AH548" s="3">
        <f t="shared" si="141"/>
        <v>1.7798096086103683E-2</v>
      </c>
      <c r="AI548" s="3">
        <f t="shared" si="142"/>
        <v>-1.2811860033015987E-3</v>
      </c>
    </row>
    <row r="549" spans="19:35" x14ac:dyDescent="0.3">
      <c r="S549" s="6">
        <v>532</v>
      </c>
      <c r="T549" s="4">
        <f t="shared" si="128"/>
        <v>266</v>
      </c>
      <c r="U549" s="3">
        <f t="shared" si="129"/>
        <v>-8296056.5176443346</v>
      </c>
      <c r="V549" s="3">
        <f t="shared" si="130"/>
        <v>595962.37258883659</v>
      </c>
      <c r="W549" s="3">
        <f t="shared" si="131"/>
        <v>-29312.204513657758</v>
      </c>
      <c r="X549" s="3">
        <f t="shared" si="132"/>
        <v>2400.8792052882886</v>
      </c>
      <c r="Y549" s="3">
        <f t="shared" si="133"/>
        <v>8301398.0526902499</v>
      </c>
      <c r="Z549" s="3">
        <f t="shared" si="134"/>
        <v>-587261.76290875056</v>
      </c>
      <c r="AA549" s="3">
        <f t="shared" si="135"/>
        <v>8322144.3154624617</v>
      </c>
      <c r="AB549" s="3">
        <f t="shared" si="136"/>
        <v>8261398.0526902499</v>
      </c>
      <c r="AC549" s="3">
        <f t="shared" si="137"/>
        <v>-584761.76290875056</v>
      </c>
      <c r="AD549" s="3">
        <f t="shared" si="138"/>
        <v>8282067.6225417526</v>
      </c>
      <c r="AE549" s="3">
        <f t="shared" si="139"/>
        <v>8276398.0526902499</v>
      </c>
      <c r="AF549" s="3">
        <f t="shared" si="143"/>
        <v>-609761.76290875056</v>
      </c>
      <c r="AG549" s="3">
        <f t="shared" si="140"/>
        <v>8298829.6846049652</v>
      </c>
      <c r="AH549" s="3">
        <f t="shared" si="141"/>
        <v>1.7735093848737081E-2</v>
      </c>
      <c r="AI549" s="3">
        <f t="shared" si="142"/>
        <v>-1.2769620285509613E-3</v>
      </c>
    </row>
    <row r="550" spans="19:35" x14ac:dyDescent="0.3">
      <c r="S550" s="6">
        <v>533</v>
      </c>
      <c r="T550" s="4">
        <f t="shared" si="128"/>
        <v>266.5</v>
      </c>
      <c r="U550" s="3">
        <f t="shared" si="129"/>
        <v>-8310712.61546739</v>
      </c>
      <c r="V550" s="3">
        <f t="shared" si="130"/>
        <v>597162.81187224027</v>
      </c>
      <c r="W550" s="3">
        <f t="shared" si="131"/>
        <v>-29307.478111147069</v>
      </c>
      <c r="X550" s="3">
        <f t="shared" si="132"/>
        <v>2400.5388949076796</v>
      </c>
      <c r="Y550" s="3">
        <f t="shared" si="133"/>
        <v>8316056.5176443346</v>
      </c>
      <c r="Z550" s="3">
        <f t="shared" si="134"/>
        <v>-588462.37258883659</v>
      </c>
      <c r="AA550" s="3">
        <f t="shared" si="135"/>
        <v>8336850.9623602908</v>
      </c>
      <c r="AB550" s="3">
        <f t="shared" si="136"/>
        <v>8276056.5176443346</v>
      </c>
      <c r="AC550" s="3">
        <f t="shared" si="137"/>
        <v>-585962.37258883659</v>
      </c>
      <c r="AD550" s="3">
        <f t="shared" si="138"/>
        <v>8296774.2759058606</v>
      </c>
      <c r="AE550" s="3">
        <f t="shared" si="139"/>
        <v>8291056.5176443346</v>
      </c>
      <c r="AF550" s="3">
        <f t="shared" si="143"/>
        <v>-610962.37258883659</v>
      </c>
      <c r="AG550" s="3">
        <f t="shared" si="140"/>
        <v>8313536.7443400398</v>
      </c>
      <c r="AH550" s="3">
        <f t="shared" si="141"/>
        <v>1.767243562825755E-2</v>
      </c>
      <c r="AI550" s="3">
        <f t="shared" si="142"/>
        <v>-1.2727595237421816E-3</v>
      </c>
    </row>
    <row r="551" spans="19:35" x14ac:dyDescent="0.3">
      <c r="S551" s="6">
        <v>534</v>
      </c>
      <c r="T551" s="4">
        <f t="shared" si="128"/>
        <v>267</v>
      </c>
      <c r="U551" s="3">
        <f t="shared" si="129"/>
        <v>-8325366.3501048554</v>
      </c>
      <c r="V551" s="3">
        <f t="shared" si="130"/>
        <v>598363.08100150421</v>
      </c>
      <c r="W551" s="3">
        <f t="shared" si="131"/>
        <v>-29302.759570834325</v>
      </c>
      <c r="X551" s="3">
        <f t="shared" si="132"/>
        <v>2400.1990681148404</v>
      </c>
      <c r="Y551" s="3">
        <f t="shared" si="133"/>
        <v>8330712.61546739</v>
      </c>
      <c r="Z551" s="3">
        <f t="shared" si="134"/>
        <v>-589662.81187224027</v>
      </c>
      <c r="AA551" s="3">
        <f t="shared" si="135"/>
        <v>8351555.2391882436</v>
      </c>
      <c r="AB551" s="3">
        <f t="shared" si="136"/>
        <v>8290712.61546739</v>
      </c>
      <c r="AC551" s="3">
        <f t="shared" si="137"/>
        <v>-587162.81187224027</v>
      </c>
      <c r="AD551" s="3">
        <f t="shared" si="138"/>
        <v>8311478.5591924526</v>
      </c>
      <c r="AE551" s="3">
        <f t="shared" si="139"/>
        <v>8305712.61546739</v>
      </c>
      <c r="AF551" s="3">
        <f t="shared" si="143"/>
        <v>-612162.81187224027</v>
      </c>
      <c r="AG551" s="3">
        <f t="shared" si="140"/>
        <v>8328241.432557865</v>
      </c>
      <c r="AH551" s="3">
        <f t="shared" si="141"/>
        <v>1.7610118892318026E-2</v>
      </c>
      <c r="AI551" s="3">
        <f t="shared" si="142"/>
        <v>-1.2685783420885175E-3</v>
      </c>
    </row>
    <row r="552" spans="19:35" x14ac:dyDescent="0.3">
      <c r="S552" s="6">
        <v>535</v>
      </c>
      <c r="T552" s="4">
        <f t="shared" si="128"/>
        <v>267.5</v>
      </c>
      <c r="U552" s="3">
        <f t="shared" si="129"/>
        <v>-8340017.7254877435</v>
      </c>
      <c r="V552" s="3">
        <f t="shared" si="130"/>
        <v>599563.18021841708</v>
      </c>
      <c r="W552" s="3">
        <f t="shared" si="131"/>
        <v>-29298.048864030628</v>
      </c>
      <c r="X552" s="3">
        <f t="shared" si="132"/>
        <v>2399.8597234083318</v>
      </c>
      <c r="Y552" s="3">
        <f t="shared" si="133"/>
        <v>8345366.3501048554</v>
      </c>
      <c r="Z552" s="3">
        <f t="shared" si="134"/>
        <v>-590863.08100150421</v>
      </c>
      <c r="AA552" s="3">
        <f t="shared" si="135"/>
        <v>8366257.14988208</v>
      </c>
      <c r="AB552" s="3">
        <f t="shared" si="136"/>
        <v>8305366.3501048554</v>
      </c>
      <c r="AC552" s="3">
        <f t="shared" si="137"/>
        <v>-588363.08100150421</v>
      </c>
      <c r="AD552" s="3">
        <f t="shared" si="138"/>
        <v>8326180.4763372522</v>
      </c>
      <c r="AE552" s="3">
        <f t="shared" si="139"/>
        <v>8320366.3501048554</v>
      </c>
      <c r="AF552" s="3">
        <f t="shared" si="143"/>
        <v>-613363.08100150421</v>
      </c>
      <c r="AG552" s="3">
        <f t="shared" si="140"/>
        <v>8342943.7532020342</v>
      </c>
      <c r="AH552" s="3">
        <f t="shared" si="141"/>
        <v>1.7548141131996629E-2</v>
      </c>
      <c r="AI552" s="3">
        <f t="shared" si="142"/>
        <v>-1.2644183380601968E-3</v>
      </c>
    </row>
    <row r="553" spans="19:35" x14ac:dyDescent="0.3">
      <c r="S553" s="6">
        <v>536</v>
      </c>
      <c r="T553" s="4">
        <f t="shared" si="128"/>
        <v>268</v>
      </c>
      <c r="U553" s="3">
        <f t="shared" si="129"/>
        <v>-8354666.7455327241</v>
      </c>
      <c r="V553" s="3">
        <f t="shared" si="130"/>
        <v>600763.10976401658</v>
      </c>
      <c r="W553" s="3">
        <f t="shared" si="131"/>
        <v>-29293.345962207255</v>
      </c>
      <c r="X553" s="3">
        <f t="shared" si="132"/>
        <v>2399.5208592937315</v>
      </c>
      <c r="Y553" s="3">
        <f t="shared" si="133"/>
        <v>8360017.7254877435</v>
      </c>
      <c r="Z553" s="3">
        <f t="shared" si="134"/>
        <v>-592063.18021841708</v>
      </c>
      <c r="AA553" s="3">
        <f t="shared" si="135"/>
        <v>8380956.6983632371</v>
      </c>
      <c r="AB553" s="3">
        <f t="shared" si="136"/>
        <v>8320017.7254877435</v>
      </c>
      <c r="AC553" s="3">
        <f t="shared" si="137"/>
        <v>-589563.18021841708</v>
      </c>
      <c r="AD553" s="3">
        <f t="shared" si="138"/>
        <v>8340880.0312616592</v>
      </c>
      <c r="AE553" s="3">
        <f t="shared" si="139"/>
        <v>8335017.7254877435</v>
      </c>
      <c r="AF553" s="3">
        <f t="shared" si="143"/>
        <v>-614563.18021841708</v>
      </c>
      <c r="AG553" s="3">
        <f t="shared" si="140"/>
        <v>8357643.7102017608</v>
      </c>
      <c r="AH553" s="3">
        <f t="shared" si="141"/>
        <v>1.7486499861535477E-2</v>
      </c>
      <c r="AI553" s="3">
        <f t="shared" si="142"/>
        <v>-1.2602793673714913E-3</v>
      </c>
    </row>
    <row r="554" spans="19:35" x14ac:dyDescent="0.3">
      <c r="S554" s="6">
        <v>537</v>
      </c>
      <c r="T554" s="4">
        <f t="shared" si="128"/>
        <v>268.5</v>
      </c>
      <c r="U554" s="3">
        <f t="shared" si="129"/>
        <v>-8369313.4141422026</v>
      </c>
      <c r="V554" s="3">
        <f t="shared" si="130"/>
        <v>601962.8698785936</v>
      </c>
      <c r="W554" s="3">
        <f t="shared" si="131"/>
        <v>-29288.650836994431</v>
      </c>
      <c r="X554" s="3">
        <f t="shared" si="132"/>
        <v>2399.1824742835925</v>
      </c>
      <c r="Y554" s="3">
        <f t="shared" si="133"/>
        <v>8374666.7455327241</v>
      </c>
      <c r="Z554" s="3">
        <f t="shared" si="134"/>
        <v>-593263.10976401658</v>
      </c>
      <c r="AA554" s="3">
        <f t="shared" si="135"/>
        <v>8395653.8885389119</v>
      </c>
      <c r="AB554" s="3">
        <f t="shared" si="136"/>
        <v>8334666.7455327241</v>
      </c>
      <c r="AC554" s="3">
        <f t="shared" si="137"/>
        <v>-590763.10976401658</v>
      </c>
      <c r="AD554" s="3">
        <f t="shared" si="138"/>
        <v>8355577.2278728355</v>
      </c>
      <c r="AE554" s="3">
        <f t="shared" si="139"/>
        <v>8349666.7455327241</v>
      </c>
      <c r="AF554" s="3">
        <f t="shared" si="143"/>
        <v>-615763.10976401658</v>
      </c>
      <c r="AG554" s="3">
        <f t="shared" si="140"/>
        <v>8372341.3074719599</v>
      </c>
      <c r="AH554" s="3">
        <f t="shared" si="141"/>
        <v>1.7425192618083365E-2</v>
      </c>
      <c r="AI554" s="3">
        <f t="shared" si="142"/>
        <v>-1.256161286967972E-3</v>
      </c>
    </row>
    <row r="555" spans="19:35" x14ac:dyDescent="0.3">
      <c r="S555" s="6">
        <v>538</v>
      </c>
      <c r="T555" s="4">
        <f t="shared" si="128"/>
        <v>269</v>
      </c>
      <c r="U555" s="3">
        <f t="shared" si="129"/>
        <v>-8383957.7352044014</v>
      </c>
      <c r="V555" s="3">
        <f t="shared" si="130"/>
        <v>603162.46080169501</v>
      </c>
      <c r="W555" s="3">
        <f t="shared" si="131"/>
        <v>-29283.963460180166</v>
      </c>
      <c r="X555" s="3">
        <f t="shared" si="132"/>
        <v>2398.8445668973982</v>
      </c>
      <c r="Y555" s="3">
        <f t="shared" si="133"/>
        <v>8389313.4141422026</v>
      </c>
      <c r="Z555" s="3">
        <f t="shared" si="134"/>
        <v>-594462.8698785936</v>
      </c>
      <c r="AA555" s="3">
        <f t="shared" si="135"/>
        <v>8410348.7243021373</v>
      </c>
      <c r="AB555" s="3">
        <f t="shared" si="136"/>
        <v>8349313.4141422026</v>
      </c>
      <c r="AC555" s="3">
        <f t="shared" si="137"/>
        <v>-591962.8698785936</v>
      </c>
      <c r="AD555" s="3">
        <f t="shared" si="138"/>
        <v>8370272.070063781</v>
      </c>
      <c r="AE555" s="3">
        <f t="shared" si="139"/>
        <v>8364313.4141422026</v>
      </c>
      <c r="AF555" s="3">
        <f t="shared" si="143"/>
        <v>-616962.8698785936</v>
      </c>
      <c r="AG555" s="3">
        <f t="shared" si="140"/>
        <v>8387036.5489133298</v>
      </c>
      <c r="AH555" s="3">
        <f t="shared" si="141"/>
        <v>1.7364216961441796E-2</v>
      </c>
      <c r="AI555" s="3">
        <f t="shared" si="142"/>
        <v>-1.2520639550139231E-3</v>
      </c>
    </row>
    <row r="556" spans="19:35" x14ac:dyDescent="0.3">
      <c r="S556" s="6">
        <v>539</v>
      </c>
      <c r="T556" s="4">
        <f t="shared" si="128"/>
        <v>269.5</v>
      </c>
      <c r="U556" s="3">
        <f t="shared" si="129"/>
        <v>-8398599.7125934362</v>
      </c>
      <c r="V556" s="3">
        <f t="shared" si="130"/>
        <v>604361.88277212775</v>
      </c>
      <c r="W556" s="3">
        <f t="shared" si="131"/>
        <v>-29279.283803709059</v>
      </c>
      <c r="X556" s="3">
        <f t="shared" si="132"/>
        <v>2398.5071356615217</v>
      </c>
      <c r="Y556" s="3">
        <f t="shared" si="133"/>
        <v>8403957.7352044024</v>
      </c>
      <c r="Z556" s="3">
        <f t="shared" si="134"/>
        <v>-595662.46080169501</v>
      </c>
      <c r="AA556" s="3">
        <f t="shared" si="135"/>
        <v>8425041.2095318697</v>
      </c>
      <c r="AB556" s="3">
        <f t="shared" si="136"/>
        <v>8363957.7352044014</v>
      </c>
      <c r="AC556" s="3">
        <f t="shared" si="137"/>
        <v>-593162.46080169501</v>
      </c>
      <c r="AD556" s="3">
        <f t="shared" si="138"/>
        <v>8384964.5617134161</v>
      </c>
      <c r="AE556" s="3">
        <f t="shared" si="139"/>
        <v>8378957.7352044014</v>
      </c>
      <c r="AF556" s="3">
        <f t="shared" si="143"/>
        <v>-618162.46080169501</v>
      </c>
      <c r="AG556" s="3">
        <f t="shared" si="140"/>
        <v>8401729.4384124316</v>
      </c>
      <c r="AH556" s="3">
        <f t="shared" si="141"/>
        <v>1.7303570473814554E-2</v>
      </c>
      <c r="AI556" s="3">
        <f t="shared" si="142"/>
        <v>-1.2479872308799205E-3</v>
      </c>
    </row>
    <row r="557" spans="19:35" x14ac:dyDescent="0.3">
      <c r="S557" s="6">
        <v>540</v>
      </c>
      <c r="T557" s="4">
        <f t="shared" si="128"/>
        <v>270</v>
      </c>
      <c r="U557" s="3">
        <f t="shared" si="129"/>
        <v>-8413239.3501693979</v>
      </c>
      <c r="V557" s="3">
        <f t="shared" si="130"/>
        <v>605561.13602796174</v>
      </c>
      <c r="W557" s="3">
        <f t="shared" si="131"/>
        <v>-29274.611839681129</v>
      </c>
      <c r="X557" s="3">
        <f t="shared" si="132"/>
        <v>2398.1701791091841</v>
      </c>
      <c r="Y557" s="3">
        <f t="shared" si="133"/>
        <v>8418599.7125934362</v>
      </c>
      <c r="Z557" s="3">
        <f t="shared" si="134"/>
        <v>-596861.88277212775</v>
      </c>
      <c r="AA557" s="3">
        <f t="shared" si="135"/>
        <v>8439731.3480930533</v>
      </c>
      <c r="AB557" s="3">
        <f t="shared" si="136"/>
        <v>8378599.7125934362</v>
      </c>
      <c r="AC557" s="3">
        <f t="shared" si="137"/>
        <v>-594361.88277212775</v>
      </c>
      <c r="AD557" s="3">
        <f t="shared" si="138"/>
        <v>8399654.7066866532</v>
      </c>
      <c r="AE557" s="3">
        <f t="shared" si="139"/>
        <v>8393599.7125934362</v>
      </c>
      <c r="AF557" s="3">
        <f t="shared" si="143"/>
        <v>-619361.88277212775</v>
      </c>
      <c r="AG557" s="3">
        <f t="shared" si="140"/>
        <v>8416419.979841765</v>
      </c>
      <c r="AH557" s="3">
        <f t="shared" si="141"/>
        <v>1.7243250759559861E-2</v>
      </c>
      <c r="AI557" s="3">
        <f t="shared" si="142"/>
        <v>-1.2439309751305109E-3</v>
      </c>
    </row>
    <row r="558" spans="19:35" x14ac:dyDescent="0.3">
      <c r="S558" s="6">
        <v>541</v>
      </c>
      <c r="T558" s="4">
        <f t="shared" si="128"/>
        <v>270.5</v>
      </c>
      <c r="U558" s="3">
        <f t="shared" si="129"/>
        <v>-8427876.651778426</v>
      </c>
      <c r="V558" s="3">
        <f t="shared" si="130"/>
        <v>606760.22080653359</v>
      </c>
      <c r="W558" s="3">
        <f t="shared" si="131"/>
        <v>-29269.947540350669</v>
      </c>
      <c r="X558" s="3">
        <f t="shared" si="132"/>
        <v>2397.8336957804113</v>
      </c>
      <c r="Y558" s="3">
        <f t="shared" si="133"/>
        <v>8433239.3501693979</v>
      </c>
      <c r="Z558" s="3">
        <f t="shared" si="134"/>
        <v>-598061.13602796174</v>
      </c>
      <c r="AA558" s="3">
        <f t="shared" si="135"/>
        <v>8454419.1438367087</v>
      </c>
      <c r="AB558" s="3">
        <f t="shared" si="136"/>
        <v>8393239.3501693979</v>
      </c>
      <c r="AC558" s="3">
        <f t="shared" si="137"/>
        <v>-595561.13602796174</v>
      </c>
      <c r="AD558" s="3">
        <f t="shared" si="138"/>
        <v>8414342.5088344812</v>
      </c>
      <c r="AE558" s="3">
        <f t="shared" si="139"/>
        <v>8408239.3501693979</v>
      </c>
      <c r="AF558" s="3">
        <f t="shared" si="143"/>
        <v>-620561.13602796174</v>
      </c>
      <c r="AG558" s="3">
        <f t="shared" si="140"/>
        <v>8431108.177059846</v>
      </c>
      <c r="AH558" s="3">
        <f t="shared" si="141"/>
        <v>1.7183255444946414E-2</v>
      </c>
      <c r="AI558" s="3">
        <f t="shared" si="142"/>
        <v>-1.2398950495120841E-3</v>
      </c>
    </row>
    <row r="559" spans="19:35" x14ac:dyDescent="0.3">
      <c r="S559" s="6">
        <v>542</v>
      </c>
      <c r="T559" s="4">
        <f t="shared" si="128"/>
        <v>271</v>
      </c>
      <c r="U559" s="3">
        <f t="shared" si="129"/>
        <v>-8442511.6212527864</v>
      </c>
      <c r="V559" s="3">
        <f t="shared" si="130"/>
        <v>607959.13734445011</v>
      </c>
      <c r="W559" s="3">
        <f t="shared" si="131"/>
        <v>-29265.290878125088</v>
      </c>
      <c r="X559" s="3">
        <f t="shared" si="132"/>
        <v>2397.4976842219935</v>
      </c>
      <c r="Y559" s="3">
        <f t="shared" si="133"/>
        <v>8447876.651778426</v>
      </c>
      <c r="Z559" s="3">
        <f t="shared" si="134"/>
        <v>-599260.22080653359</v>
      </c>
      <c r="AA559" s="3">
        <f t="shared" si="135"/>
        <v>8469104.6006000042</v>
      </c>
      <c r="AB559" s="3">
        <f t="shared" si="136"/>
        <v>8407876.651778426</v>
      </c>
      <c r="AC559" s="3">
        <f t="shared" si="137"/>
        <v>-596760.22080653359</v>
      </c>
      <c r="AD559" s="3">
        <f t="shared" si="138"/>
        <v>8429027.9719940349</v>
      </c>
      <c r="AE559" s="3">
        <f t="shared" si="139"/>
        <v>8422876.651778426</v>
      </c>
      <c r="AF559" s="3">
        <f t="shared" si="143"/>
        <v>-621760.22080653359</v>
      </c>
      <c r="AG559" s="3">
        <f t="shared" si="140"/>
        <v>8445794.0339112896</v>
      </c>
      <c r="AH559" s="3">
        <f t="shared" si="141"/>
        <v>1.7123582177911947E-2</v>
      </c>
      <c r="AI559" s="3">
        <f t="shared" si="142"/>
        <v>-1.2358793169408495E-3</v>
      </c>
    </row>
    <row r="560" spans="19:35" x14ac:dyDescent="0.3">
      <c r="S560" s="6">
        <v>543</v>
      </c>
      <c r="T560" s="4">
        <f t="shared" si="128"/>
        <v>271.5</v>
      </c>
      <c r="U560" s="3">
        <f t="shared" si="129"/>
        <v>-8457144.2624109536</v>
      </c>
      <c r="V560" s="3">
        <f t="shared" si="130"/>
        <v>609157.88587759121</v>
      </c>
      <c r="W560" s="3">
        <f t="shared" si="131"/>
        <v>-29260.641825563784</v>
      </c>
      <c r="X560" s="3">
        <f t="shared" si="132"/>
        <v>2397.162142987444</v>
      </c>
      <c r="Y560" s="3">
        <f t="shared" si="133"/>
        <v>8462511.6212527864</v>
      </c>
      <c r="Z560" s="3">
        <f t="shared" si="134"/>
        <v>-600459.13734445011</v>
      </c>
      <c r="AA560" s="3">
        <f t="shared" si="135"/>
        <v>8483787.7222063318</v>
      </c>
      <c r="AB560" s="3">
        <f t="shared" si="136"/>
        <v>8422511.6212527864</v>
      </c>
      <c r="AC560" s="3">
        <f t="shared" si="137"/>
        <v>-597959.13734445011</v>
      </c>
      <c r="AD560" s="3">
        <f t="shared" si="138"/>
        <v>8443711.0999886747</v>
      </c>
      <c r="AE560" s="3">
        <f t="shared" si="139"/>
        <v>8437511.6212527864</v>
      </c>
      <c r="AF560" s="3">
        <f t="shared" si="143"/>
        <v>-622959.13734445011</v>
      </c>
      <c r="AG560" s="3">
        <f t="shared" si="140"/>
        <v>8460477.5542268753</v>
      </c>
      <c r="AH560" s="3">
        <f t="shared" si="141"/>
        <v>1.7064228627825612E-2</v>
      </c>
      <c r="AI560" s="3">
        <f t="shared" si="142"/>
        <v>-1.2318836414910018E-3</v>
      </c>
    </row>
    <row r="561" spans="19:35" x14ac:dyDescent="0.3">
      <c r="S561" s="6">
        <v>544</v>
      </c>
      <c r="T561" s="4">
        <f t="shared" si="128"/>
        <v>272</v>
      </c>
      <c r="U561" s="3">
        <f t="shared" si="129"/>
        <v>-8471774.5790576786</v>
      </c>
      <c r="V561" s="3">
        <f t="shared" si="130"/>
        <v>610356.46664111398</v>
      </c>
      <c r="W561" s="3">
        <f t="shared" si="131"/>
        <v>-29256.000355377015</v>
      </c>
      <c r="X561" s="3">
        <f t="shared" si="132"/>
        <v>2396.8270706369585</v>
      </c>
      <c r="Y561" s="3">
        <f t="shared" si="133"/>
        <v>8477144.2624109536</v>
      </c>
      <c r="Z561" s="3">
        <f t="shared" si="134"/>
        <v>-601657.88587759121</v>
      </c>
      <c r="AA561" s="3">
        <f t="shared" si="135"/>
        <v>8498468.5124653857</v>
      </c>
      <c r="AB561" s="3">
        <f t="shared" si="136"/>
        <v>8437144.2624109536</v>
      </c>
      <c r="AC561" s="3">
        <f t="shared" si="137"/>
        <v>-599157.88587759121</v>
      </c>
      <c r="AD561" s="3">
        <f t="shared" si="138"/>
        <v>8458391.8966280688</v>
      </c>
      <c r="AE561" s="3">
        <f t="shared" si="139"/>
        <v>8452144.2624109536</v>
      </c>
      <c r="AF561" s="3">
        <f t="shared" si="143"/>
        <v>-624157.88587759121</v>
      </c>
      <c r="AG561" s="3">
        <f t="shared" si="140"/>
        <v>8475158.741823636</v>
      </c>
      <c r="AH561" s="3">
        <f t="shared" si="141"/>
        <v>1.7005192485252587E-2</v>
      </c>
      <c r="AI561" s="3">
        <f t="shared" si="142"/>
        <v>-1.2279078883829665E-3</v>
      </c>
    </row>
    <row r="562" spans="19:35" x14ac:dyDescent="0.3">
      <c r="S562" s="6">
        <v>545</v>
      </c>
      <c r="T562" s="4">
        <f t="shared" si="128"/>
        <v>272.5</v>
      </c>
      <c r="U562" s="3">
        <f t="shared" si="129"/>
        <v>-8486402.5749840699</v>
      </c>
      <c r="V562" s="3">
        <f t="shared" si="130"/>
        <v>611554.87986945547</v>
      </c>
      <c r="W562" s="3">
        <f t="shared" si="131"/>
        <v>-29251.366440424783</v>
      </c>
      <c r="X562" s="3">
        <f t="shared" si="132"/>
        <v>2396.492465737374</v>
      </c>
      <c r="Y562" s="3">
        <f t="shared" si="133"/>
        <v>8491774.5790576786</v>
      </c>
      <c r="Z562" s="3">
        <f t="shared" si="134"/>
        <v>-602856.46664111398</v>
      </c>
      <c r="AA562" s="3">
        <f t="shared" si="135"/>
        <v>8513146.9751732368</v>
      </c>
      <c r="AB562" s="3">
        <f t="shared" si="136"/>
        <v>8451774.5790576786</v>
      </c>
      <c r="AC562" s="3">
        <f t="shared" si="137"/>
        <v>-600356.46664111398</v>
      </c>
      <c r="AD562" s="3">
        <f t="shared" si="138"/>
        <v>8473070.3657082524</v>
      </c>
      <c r="AE562" s="3">
        <f t="shared" si="139"/>
        <v>8466774.5790576786</v>
      </c>
      <c r="AF562" s="3">
        <f t="shared" si="143"/>
        <v>-625356.46664111398</v>
      </c>
      <c r="AG562" s="3">
        <f t="shared" si="140"/>
        <v>8489837.6005049236</v>
      </c>
      <c r="AH562" s="3">
        <f t="shared" si="141"/>
        <v>1.6946471461722519E-2</v>
      </c>
      <c r="AI562" s="3">
        <f t="shared" si="142"/>
        <v>-1.223951923971847E-3</v>
      </c>
    </row>
    <row r="563" spans="19:35" x14ac:dyDescent="0.3">
      <c r="S563" s="6">
        <v>546</v>
      </c>
      <c r="T563" s="4">
        <f t="shared" si="128"/>
        <v>273</v>
      </c>
      <c r="U563" s="3">
        <f t="shared" si="129"/>
        <v>-8501028.2539676651</v>
      </c>
      <c r="V563" s="3">
        <f t="shared" si="130"/>
        <v>612753.1257963361</v>
      </c>
      <c r="W563" s="3">
        <f t="shared" si="131"/>
        <v>-29246.740053715734</v>
      </c>
      <c r="X563" s="3">
        <f t="shared" si="132"/>
        <v>2396.1583268621298</v>
      </c>
      <c r="Y563" s="3">
        <f t="shared" si="133"/>
        <v>8506402.5749840699</v>
      </c>
      <c r="Z563" s="3">
        <f t="shared" si="134"/>
        <v>-604054.87986945547</v>
      </c>
      <c r="AA563" s="3">
        <f t="shared" si="135"/>
        <v>8527823.1141123995</v>
      </c>
      <c r="AB563" s="3">
        <f t="shared" si="136"/>
        <v>8466402.5749840699</v>
      </c>
      <c r="AC563" s="3">
        <f t="shared" si="137"/>
        <v>-601554.87986945547</v>
      </c>
      <c r="AD563" s="3">
        <f t="shared" si="138"/>
        <v>8487746.5110117216</v>
      </c>
      <c r="AE563" s="3">
        <f t="shared" si="139"/>
        <v>8481402.5749840699</v>
      </c>
      <c r="AF563" s="3">
        <f t="shared" si="143"/>
        <v>-626554.87986945547</v>
      </c>
      <c r="AG563" s="3">
        <f t="shared" si="140"/>
        <v>8504514.134060489</v>
      </c>
      <c r="AH563" s="3">
        <f t="shared" si="141"/>
        <v>1.6888063289500245E-2</v>
      </c>
      <c r="AI563" s="3">
        <f t="shared" si="142"/>
        <v>-1.2200156157359528E-3</v>
      </c>
    </row>
    <row r="564" spans="19:35" x14ac:dyDescent="0.3">
      <c r="S564" s="6">
        <v>547</v>
      </c>
      <c r="T564" s="4">
        <f t="shared" si="128"/>
        <v>273.5</v>
      </c>
      <c r="U564" s="3">
        <f t="shared" si="129"/>
        <v>-8515651.6197725087</v>
      </c>
      <c r="V564" s="3">
        <f t="shared" si="130"/>
        <v>613951.20465476322</v>
      </c>
      <c r="W564" s="3">
        <f t="shared" si="131"/>
        <v>-29242.121168406054</v>
      </c>
      <c r="X564" s="3">
        <f t="shared" si="132"/>
        <v>2395.8246525912259</v>
      </c>
      <c r="Y564" s="3">
        <f t="shared" si="133"/>
        <v>8521028.2539676651</v>
      </c>
      <c r="Z564" s="3">
        <f t="shared" si="134"/>
        <v>-605253.1257963361</v>
      </c>
      <c r="AA564" s="3">
        <f t="shared" si="135"/>
        <v>8542496.9330519214</v>
      </c>
      <c r="AB564" s="3">
        <f t="shared" si="136"/>
        <v>8481028.2539676651</v>
      </c>
      <c r="AC564" s="3">
        <f t="shared" si="137"/>
        <v>-602753.1257963361</v>
      </c>
      <c r="AD564" s="3">
        <f t="shared" si="138"/>
        <v>8502420.3363074847</v>
      </c>
      <c r="AE564" s="3">
        <f t="shared" si="139"/>
        <v>8496028.2539676651</v>
      </c>
      <c r="AF564" s="3">
        <f t="shared" si="143"/>
        <v>-627753.1257963361</v>
      </c>
      <c r="AG564" s="3">
        <f t="shared" si="140"/>
        <v>8519188.3462665584</v>
      </c>
      <c r="AH564" s="3">
        <f t="shared" si="141"/>
        <v>1.682996572135979E-2</v>
      </c>
      <c r="AI564" s="3">
        <f t="shared" si="142"/>
        <v>-1.2160988322654927E-3</v>
      </c>
    </row>
    <row r="565" spans="19:35" x14ac:dyDescent="0.3">
      <c r="S565" s="6">
        <v>548</v>
      </c>
      <c r="T565" s="4">
        <f t="shared" si="128"/>
        <v>274</v>
      </c>
      <c r="U565" s="3">
        <f t="shared" si="129"/>
        <v>-8530272.6761492193</v>
      </c>
      <c r="V565" s="3">
        <f t="shared" si="130"/>
        <v>615149.11667703418</v>
      </c>
      <c r="W565" s="3">
        <f t="shared" si="131"/>
        <v>-29237.509757798402</v>
      </c>
      <c r="X565" s="3">
        <f t="shared" si="132"/>
        <v>2395.4914415111853</v>
      </c>
      <c r="Y565" s="3">
        <f t="shared" si="133"/>
        <v>8535651.6197725087</v>
      </c>
      <c r="Z565" s="3">
        <f t="shared" si="134"/>
        <v>-606451.20465476322</v>
      </c>
      <c r="AA565" s="3">
        <f t="shared" si="135"/>
        <v>8557168.435747439</v>
      </c>
      <c r="AB565" s="3">
        <f t="shared" si="136"/>
        <v>8495651.6197725087</v>
      </c>
      <c r="AC565" s="3">
        <f t="shared" si="137"/>
        <v>-603951.20465476322</v>
      </c>
      <c r="AD565" s="3">
        <f t="shared" si="138"/>
        <v>8517091.8453511577</v>
      </c>
      <c r="AE565" s="3">
        <f t="shared" si="139"/>
        <v>8510651.6197725087</v>
      </c>
      <c r="AF565" s="3">
        <f t="shared" si="143"/>
        <v>-628951.20465476322</v>
      </c>
      <c r="AG565" s="3">
        <f t="shared" si="140"/>
        <v>8533860.2408858966</v>
      </c>
      <c r="AH565" s="3">
        <f t="shared" si="141"/>
        <v>1.6772176530361289E-2</v>
      </c>
      <c r="AI565" s="3">
        <f t="shared" si="142"/>
        <v>-1.2122014432514004E-3</v>
      </c>
    </row>
    <row r="566" spans="19:35" x14ac:dyDescent="0.3">
      <c r="S566" s="6">
        <v>549</v>
      </c>
      <c r="T566" s="4">
        <f t="shared" si="128"/>
        <v>274.5</v>
      </c>
      <c r="U566" s="3">
        <f t="shared" si="129"/>
        <v>-8544891.426835075</v>
      </c>
      <c r="V566" s="3">
        <f t="shared" si="130"/>
        <v>616346.86209473934</v>
      </c>
      <c r="W566" s="3">
        <f t="shared" si="131"/>
        <v>-29232.905795340819</v>
      </c>
      <c r="X566" s="3">
        <f t="shared" si="132"/>
        <v>2395.1586922150127</v>
      </c>
      <c r="Y566" s="3">
        <f t="shared" si="133"/>
        <v>8550272.6761492193</v>
      </c>
      <c r="Z566" s="3">
        <f t="shared" si="134"/>
        <v>-607649.11667703418</v>
      </c>
      <c r="AA566" s="3">
        <f t="shared" si="135"/>
        <v>8571837.6259412616</v>
      </c>
      <c r="AB566" s="3">
        <f t="shared" si="136"/>
        <v>8510272.6761492193</v>
      </c>
      <c r="AC566" s="3">
        <f t="shared" si="137"/>
        <v>-605149.11667703418</v>
      </c>
      <c r="AD566" s="3">
        <f t="shared" si="138"/>
        <v>8531761.0418850221</v>
      </c>
      <c r="AE566" s="3">
        <f t="shared" si="139"/>
        <v>8525272.6761492193</v>
      </c>
      <c r="AF566" s="3">
        <f t="shared" si="143"/>
        <v>-630149.11667703418</v>
      </c>
      <c r="AG566" s="3">
        <f t="shared" si="140"/>
        <v>8548529.8216678947</v>
      </c>
      <c r="AH566" s="3">
        <f t="shared" si="141"/>
        <v>1.6714693509630583E-2</v>
      </c>
      <c r="AI566" s="3">
        <f t="shared" si="142"/>
        <v>-1.2083233194742794E-3</v>
      </c>
    </row>
    <row r="567" spans="19:35" x14ac:dyDescent="0.3">
      <c r="S567" s="6">
        <v>550</v>
      </c>
      <c r="T567" s="4">
        <f t="shared" si="128"/>
        <v>275</v>
      </c>
      <c r="U567" s="3">
        <f t="shared" si="129"/>
        <v>-8559507.8755540717</v>
      </c>
      <c r="V567" s="3">
        <f t="shared" si="130"/>
        <v>617544.44113876601</v>
      </c>
      <c r="W567" s="3">
        <f t="shared" si="131"/>
        <v>-29228.30925462567</v>
      </c>
      <c r="X567" s="3">
        <f t="shared" si="132"/>
        <v>2394.8264033021574</v>
      </c>
      <c r="Y567" s="3">
        <f t="shared" si="133"/>
        <v>8564891.426835075</v>
      </c>
      <c r="Z567" s="3">
        <f t="shared" si="134"/>
        <v>-608846.86209473934</v>
      </c>
      <c r="AA567" s="3">
        <f t="shared" si="135"/>
        <v>8586504.507362444</v>
      </c>
      <c r="AB567" s="3">
        <f t="shared" si="136"/>
        <v>8524891.426835075</v>
      </c>
      <c r="AC567" s="3">
        <f t="shared" si="137"/>
        <v>-606346.86209473934</v>
      </c>
      <c r="AD567" s="3">
        <f t="shared" si="138"/>
        <v>8546427.9296381064</v>
      </c>
      <c r="AE567" s="3">
        <f t="shared" si="139"/>
        <v>8539891.426835075</v>
      </c>
      <c r="AF567" s="3">
        <f t="shared" si="143"/>
        <v>-631346.86209473934</v>
      </c>
      <c r="AG567" s="3">
        <f t="shared" si="140"/>
        <v>8563197.0923486333</v>
      </c>
      <c r="AH567" s="3">
        <f t="shared" si="141"/>
        <v>1.6657514472141505E-2</v>
      </c>
      <c r="AI567" s="3">
        <f t="shared" si="142"/>
        <v>-1.20446433279347E-3</v>
      </c>
    </row>
    <row r="568" spans="19:35" x14ac:dyDescent="0.3">
      <c r="S568" s="6">
        <v>551</v>
      </c>
      <c r="T568" s="4">
        <f t="shared" si="128"/>
        <v>275.5</v>
      </c>
      <c r="U568" s="3">
        <f t="shared" si="129"/>
        <v>-8574122.0260170046</v>
      </c>
      <c r="V568" s="3">
        <f t="shared" si="130"/>
        <v>618741.85403930105</v>
      </c>
      <c r="W568" s="3">
        <f t="shared" si="131"/>
        <v>-29223.720109388596</v>
      </c>
      <c r="X568" s="3">
        <f t="shared" si="132"/>
        <v>2394.494573378473</v>
      </c>
      <c r="Y568" s="3">
        <f t="shared" si="133"/>
        <v>8579507.8755540717</v>
      </c>
      <c r="Z568" s="3">
        <f t="shared" si="134"/>
        <v>-610044.44113876601</v>
      </c>
      <c r="AA568" s="3">
        <f t="shared" si="135"/>
        <v>8601169.083726855</v>
      </c>
      <c r="AB568" s="3">
        <f t="shared" si="136"/>
        <v>8539507.8755540717</v>
      </c>
      <c r="AC568" s="3">
        <f t="shared" si="137"/>
        <v>-607544.44113876601</v>
      </c>
      <c r="AD568" s="3">
        <f t="shared" si="138"/>
        <v>8561092.5123262517</v>
      </c>
      <c r="AE568" s="3">
        <f t="shared" si="139"/>
        <v>8554507.8755540717</v>
      </c>
      <c r="AF568" s="3">
        <f t="shared" si="143"/>
        <v>-632544.44113876601</v>
      </c>
      <c r="AG568" s="3">
        <f t="shared" si="140"/>
        <v>8577862.0566509571</v>
      </c>
      <c r="AH568" s="3">
        <f t="shared" si="141"/>
        <v>1.660063725050126E-2</v>
      </c>
      <c r="AI568" s="3">
        <f t="shared" si="142"/>
        <v>-1.2006243561362689E-3</v>
      </c>
    </row>
    <row r="569" spans="19:35" x14ac:dyDescent="0.3">
      <c r="S569" s="6">
        <v>552</v>
      </c>
      <c r="T569" s="4">
        <f t="shared" si="128"/>
        <v>276</v>
      </c>
      <c r="U569" s="3">
        <f t="shared" si="129"/>
        <v>-8588733.8819215391</v>
      </c>
      <c r="V569" s="3">
        <f t="shared" si="130"/>
        <v>619939.10102583421</v>
      </c>
      <c r="W569" s="3">
        <f t="shared" si="131"/>
        <v>-29219.138333507457</v>
      </c>
      <c r="X569" s="3">
        <f t="shared" si="132"/>
        <v>2394.1632010561793</v>
      </c>
      <c r="Y569" s="3">
        <f t="shared" si="133"/>
        <v>8594122.0260170046</v>
      </c>
      <c r="Z569" s="3">
        <f t="shared" si="134"/>
        <v>-611241.85403930105</v>
      </c>
      <c r="AA569" s="3">
        <f t="shared" si="135"/>
        <v>8615831.3587372415</v>
      </c>
      <c r="AB569" s="3">
        <f t="shared" si="136"/>
        <v>8554122.0260170046</v>
      </c>
      <c r="AC569" s="3">
        <f t="shared" si="137"/>
        <v>-608741.85403930105</v>
      </c>
      <c r="AD569" s="3">
        <f t="shared" si="138"/>
        <v>8575754.793652188</v>
      </c>
      <c r="AE569" s="3">
        <f t="shared" si="139"/>
        <v>8569122.0260170046</v>
      </c>
      <c r="AF569" s="3">
        <f t="shared" si="143"/>
        <v>-633741.85403930105</v>
      </c>
      <c r="AG569" s="3">
        <f t="shared" si="140"/>
        <v>8592524.7182845473</v>
      </c>
      <c r="AH569" s="3">
        <f t="shared" si="141"/>
        <v>1.6544059696738434E-2</v>
      </c>
      <c r="AI569" s="3">
        <f t="shared" si="142"/>
        <v>-1.1968032634872671E-3</v>
      </c>
    </row>
    <row r="570" spans="19:35" x14ac:dyDescent="0.3">
      <c r="S570" s="6">
        <v>553</v>
      </c>
      <c r="T570" s="4">
        <f t="shared" si="128"/>
        <v>276.5</v>
      </c>
      <c r="U570" s="3">
        <f t="shared" si="129"/>
        <v>-8603343.4469522778</v>
      </c>
      <c r="V570" s="3">
        <f t="shared" si="130"/>
        <v>621136.18232716154</v>
      </c>
      <c r="W570" s="3">
        <f t="shared" si="131"/>
        <v>-29214.563901001307</v>
      </c>
      <c r="X570" s="3">
        <f t="shared" si="132"/>
        <v>2393.8322849538249</v>
      </c>
      <c r="Y570" s="3">
        <f t="shared" si="133"/>
        <v>8608733.8819215391</v>
      </c>
      <c r="Z570" s="3">
        <f t="shared" si="134"/>
        <v>-612439.10102583421</v>
      </c>
      <c r="AA570" s="3">
        <f t="shared" si="135"/>
        <v>8630491.336083319</v>
      </c>
      <c r="AB570" s="3">
        <f t="shared" si="136"/>
        <v>8568733.8819215391</v>
      </c>
      <c r="AC570" s="3">
        <f t="shared" si="137"/>
        <v>-609939.10102583421</v>
      </c>
      <c r="AD570" s="3">
        <f t="shared" si="138"/>
        <v>8590414.7773055974</v>
      </c>
      <c r="AE570" s="3">
        <f t="shared" si="139"/>
        <v>8583733.8819215391</v>
      </c>
      <c r="AF570" s="3">
        <f t="shared" si="143"/>
        <v>-634939.10102583421</v>
      </c>
      <c r="AG570" s="3">
        <f t="shared" si="140"/>
        <v>8607185.0809459947</v>
      </c>
      <c r="AH570" s="3">
        <f t="shared" si="141"/>
        <v>1.6487779682093109E-2</v>
      </c>
      <c r="AI570" s="3">
        <f t="shared" si="142"/>
        <v>-1.1930009298777686E-3</v>
      </c>
    </row>
    <row r="571" spans="19:35" x14ac:dyDescent="0.3">
      <c r="S571" s="6">
        <v>554</v>
      </c>
      <c r="T571" s="4">
        <f t="shared" si="128"/>
        <v>277</v>
      </c>
      <c r="U571" s="3">
        <f t="shared" si="129"/>
        <v>-8617950.7247808333</v>
      </c>
      <c r="V571" s="3">
        <f t="shared" si="130"/>
        <v>622333.09817138826</v>
      </c>
      <c r="W571" s="3">
        <f t="shared" si="131"/>
        <v>-29209.996786029369</v>
      </c>
      <c r="X571" s="3">
        <f t="shared" si="132"/>
        <v>2393.5018236962487</v>
      </c>
      <c r="Y571" s="3">
        <f t="shared" si="133"/>
        <v>8623343.4469522778</v>
      </c>
      <c r="Z571" s="3">
        <f t="shared" si="134"/>
        <v>-613636.18232716154</v>
      </c>
      <c r="AA571" s="3">
        <f t="shared" si="135"/>
        <v>8645149.0194418188</v>
      </c>
      <c r="AB571" s="3">
        <f t="shared" si="136"/>
        <v>8583343.4469522778</v>
      </c>
      <c r="AC571" s="3">
        <f t="shared" si="137"/>
        <v>-611136.18232716154</v>
      </c>
      <c r="AD571" s="3">
        <f t="shared" si="138"/>
        <v>8605072.4669631943</v>
      </c>
      <c r="AE571" s="3">
        <f t="shared" si="139"/>
        <v>8598343.4469522778</v>
      </c>
      <c r="AF571" s="3">
        <f t="shared" si="143"/>
        <v>-636136.18232716154</v>
      </c>
      <c r="AG571" s="3">
        <f t="shared" si="140"/>
        <v>8621843.1483188644</v>
      </c>
      <c r="AH571" s="3">
        <f t="shared" si="141"/>
        <v>1.6431795096810885E-2</v>
      </c>
      <c r="AI571" s="3">
        <f t="shared" si="142"/>
        <v>-1.1892172313754253E-3</v>
      </c>
    </row>
    <row r="572" spans="19:35" x14ac:dyDescent="0.3">
      <c r="S572" s="6">
        <v>555</v>
      </c>
      <c r="T572" s="4">
        <f t="shared" si="128"/>
        <v>277.5</v>
      </c>
      <c r="U572" s="3">
        <f t="shared" si="129"/>
        <v>-8632555.719065899</v>
      </c>
      <c r="V572" s="3">
        <f t="shared" si="130"/>
        <v>623529.84878593206</v>
      </c>
      <c r="W572" s="3">
        <f t="shared" si="131"/>
        <v>-29205.436962890006</v>
      </c>
      <c r="X572" s="3">
        <f t="shared" si="132"/>
        <v>2393.1718159145421</v>
      </c>
      <c r="Y572" s="3">
        <f t="shared" si="133"/>
        <v>8637950.7247808333</v>
      </c>
      <c r="Z572" s="3">
        <f t="shared" si="134"/>
        <v>-614833.09817138826</v>
      </c>
      <c r="AA572" s="3">
        <f t="shared" si="135"/>
        <v>8659804.412476575</v>
      </c>
      <c r="AB572" s="3">
        <f t="shared" si="136"/>
        <v>8597950.7247808333</v>
      </c>
      <c r="AC572" s="3">
        <f t="shared" si="137"/>
        <v>-612333.09817138826</v>
      </c>
      <c r="AD572" s="3">
        <f t="shared" si="138"/>
        <v>8619727.8662887849</v>
      </c>
      <c r="AE572" s="3">
        <f t="shared" si="139"/>
        <v>8612950.7247808333</v>
      </c>
      <c r="AF572" s="3">
        <f t="shared" si="143"/>
        <v>-637333.09817138826</v>
      </c>
      <c r="AG572" s="3">
        <f t="shared" si="140"/>
        <v>8636498.9240737725</v>
      </c>
      <c r="AH572" s="3">
        <f t="shared" si="141"/>
        <v>1.6376103849937762E-2</v>
      </c>
      <c r="AI572" s="3">
        <f t="shared" si="142"/>
        <v>-1.1854520450738698E-3</v>
      </c>
    </row>
    <row r="573" spans="19:35" x14ac:dyDescent="0.3">
      <c r="S573" s="6">
        <v>556</v>
      </c>
      <c r="T573" s="4">
        <f t="shared" si="128"/>
        <v>278</v>
      </c>
      <c r="U573" s="3">
        <f t="shared" si="129"/>
        <v>-8647158.4334533196</v>
      </c>
      <c r="V573" s="3">
        <f t="shared" si="130"/>
        <v>624726.43439752632</v>
      </c>
      <c r="W573" s="3">
        <f t="shared" si="131"/>
        <v>-29200.884406019723</v>
      </c>
      <c r="X573" s="3">
        <f t="shared" si="132"/>
        <v>2392.8422602460114</v>
      </c>
      <c r="Y573" s="3">
        <f t="shared" si="133"/>
        <v>8652555.719065899</v>
      </c>
      <c r="Z573" s="3">
        <f t="shared" si="134"/>
        <v>-616029.84878593206</v>
      </c>
      <c r="AA573" s="3">
        <f t="shared" si="135"/>
        <v>8674457.5188385826</v>
      </c>
      <c r="AB573" s="3">
        <f t="shared" si="136"/>
        <v>8612555.719065899</v>
      </c>
      <c r="AC573" s="3">
        <f t="shared" si="137"/>
        <v>-613529.84878593206</v>
      </c>
      <c r="AD573" s="3">
        <f t="shared" si="138"/>
        <v>8634380.9789333474</v>
      </c>
      <c r="AE573" s="3">
        <f t="shared" si="139"/>
        <v>8627555.719065899</v>
      </c>
      <c r="AF573" s="3">
        <f t="shared" si="143"/>
        <v>-638529.84878593206</v>
      </c>
      <c r="AG573" s="3">
        <f t="shared" si="140"/>
        <v>8651152.4118684493</v>
      </c>
      <c r="AH573" s="3">
        <f t="shared" si="141"/>
        <v>1.6320703869119352E-2</v>
      </c>
      <c r="AI573" s="3">
        <f t="shared" si="142"/>
        <v>-1.1817052490825869E-3</v>
      </c>
    </row>
    <row r="574" spans="19:35" x14ac:dyDescent="0.3">
      <c r="S574" s="6">
        <v>557</v>
      </c>
      <c r="T574" s="4">
        <f t="shared" si="128"/>
        <v>278.5</v>
      </c>
      <c r="U574" s="3">
        <f t="shared" si="129"/>
        <v>-8661758.8715761527</v>
      </c>
      <c r="V574" s="3">
        <f t="shared" si="130"/>
        <v>625922.85523222294</v>
      </c>
      <c r="W574" s="3">
        <f t="shared" si="131"/>
        <v>-29196.339089992172</v>
      </c>
      <c r="X574" s="3">
        <f t="shared" si="132"/>
        <v>2392.5131553341421</v>
      </c>
      <c r="Y574" s="3">
        <f t="shared" si="133"/>
        <v>8667158.4334533196</v>
      </c>
      <c r="Z574" s="3">
        <f t="shared" si="134"/>
        <v>-617226.43439752632</v>
      </c>
      <c r="AA574" s="3">
        <f t="shared" si="135"/>
        <v>8689108.3421660755</v>
      </c>
      <c r="AB574" s="3">
        <f t="shared" si="136"/>
        <v>8627158.4334533196</v>
      </c>
      <c r="AC574" s="3">
        <f t="shared" si="137"/>
        <v>-614726.43439752632</v>
      </c>
      <c r="AD574" s="3">
        <f t="shared" si="138"/>
        <v>8649031.8085350934</v>
      </c>
      <c r="AE574" s="3">
        <f t="shared" si="139"/>
        <v>8642158.4334533196</v>
      </c>
      <c r="AF574" s="3">
        <f t="shared" si="143"/>
        <v>-639726.43439752632</v>
      </c>
      <c r="AG574" s="3">
        <f t="shared" si="140"/>
        <v>8665803.6153478175</v>
      </c>
      <c r="AH574" s="3">
        <f t="shared" si="141"/>
        <v>1.6265593100401342E-2</v>
      </c>
      <c r="AI574" s="3">
        <f t="shared" si="142"/>
        <v>-1.1779767225168197E-3</v>
      </c>
    </row>
    <row r="575" spans="19:35" x14ac:dyDescent="0.3">
      <c r="S575" s="6">
        <v>558</v>
      </c>
      <c r="T575" s="4">
        <f t="shared" si="128"/>
        <v>279</v>
      </c>
      <c r="U575" s="3">
        <f t="shared" si="129"/>
        <v>-8676357.0370547511</v>
      </c>
      <c r="V575" s="3">
        <f t="shared" si="130"/>
        <v>627119.11151539581</v>
      </c>
      <c r="W575" s="3">
        <f t="shared" si="131"/>
        <v>-29191.80098951716</v>
      </c>
      <c r="X575" s="3">
        <f t="shared" si="132"/>
        <v>2392.1844998285601</v>
      </c>
      <c r="Y575" s="3">
        <f t="shared" si="133"/>
        <v>8681758.8715761527</v>
      </c>
      <c r="Z575" s="3">
        <f t="shared" si="134"/>
        <v>-618422.85523222294</v>
      </c>
      <c r="AA575" s="3">
        <f t="shared" si="135"/>
        <v>8703756.8860845845</v>
      </c>
      <c r="AB575" s="3">
        <f t="shared" si="136"/>
        <v>8641758.8715761527</v>
      </c>
      <c r="AC575" s="3">
        <f t="shared" si="137"/>
        <v>-615922.85523222294</v>
      </c>
      <c r="AD575" s="3">
        <f t="shared" si="138"/>
        <v>8663680.3587195296</v>
      </c>
      <c r="AE575" s="3">
        <f t="shared" si="139"/>
        <v>8656758.8715761527</v>
      </c>
      <c r="AF575" s="3">
        <f t="shared" si="143"/>
        <v>-640922.85523222294</v>
      </c>
      <c r="AG575" s="3">
        <f t="shared" si="140"/>
        <v>8680452.5381440483</v>
      </c>
      <c r="AH575" s="3">
        <f t="shared" si="141"/>
        <v>1.6210769508033018E-2</v>
      </c>
      <c r="AI575" s="3">
        <f t="shared" si="142"/>
        <v>-1.1742663454876261E-3</v>
      </c>
    </row>
    <row r="576" spans="19:35" x14ac:dyDescent="0.3">
      <c r="S576" s="6">
        <v>559</v>
      </c>
      <c r="T576" s="4">
        <f t="shared" si="128"/>
        <v>279.5</v>
      </c>
      <c r="U576" s="3">
        <f t="shared" si="129"/>
        <v>-8690952.9334968161</v>
      </c>
      <c r="V576" s="3">
        <f t="shared" si="130"/>
        <v>628315.2034717435</v>
      </c>
      <c r="W576" s="3">
        <f t="shared" si="131"/>
        <v>-29187.270079439666</v>
      </c>
      <c r="X576" s="3">
        <f t="shared" si="132"/>
        <v>2391.8562923849963</v>
      </c>
      <c r="Y576" s="3">
        <f t="shared" si="133"/>
        <v>8696357.0370547511</v>
      </c>
      <c r="Z576" s="3">
        <f t="shared" si="134"/>
        <v>-619619.11151539581</v>
      </c>
      <c r="AA576" s="3">
        <f t="shared" si="135"/>
        <v>8718403.1542070135</v>
      </c>
      <c r="AB576" s="3">
        <f t="shared" si="136"/>
        <v>8656357.0370547511</v>
      </c>
      <c r="AC576" s="3">
        <f t="shared" si="137"/>
        <v>-617119.11151539581</v>
      </c>
      <c r="AD576" s="3">
        <f t="shared" si="138"/>
        <v>8678326.6330995429</v>
      </c>
      <c r="AE576" s="3">
        <f t="shared" si="139"/>
        <v>8671357.0370547511</v>
      </c>
      <c r="AF576" s="3">
        <f t="shared" si="143"/>
        <v>-642119.11151539581</v>
      </c>
      <c r="AG576" s="3">
        <f t="shared" si="140"/>
        <v>8695099.1838766448</v>
      </c>
      <c r="AH576" s="3">
        <f t="shared" si="141"/>
        <v>1.6156231074273018E-2</v>
      </c>
      <c r="AI576" s="3">
        <f t="shared" si="142"/>
        <v>-1.1705739990920355E-3</v>
      </c>
    </row>
    <row r="577" spans="19:35" x14ac:dyDescent="0.3">
      <c r="S577" s="6">
        <v>560</v>
      </c>
      <c r="T577" s="4">
        <f t="shared" si="128"/>
        <v>280</v>
      </c>
      <c r="U577" s="3">
        <f t="shared" si="129"/>
        <v>-8705546.5644974783</v>
      </c>
      <c r="V577" s="3">
        <f t="shared" si="130"/>
        <v>629511.1313252924</v>
      </c>
      <c r="W577" s="3">
        <f t="shared" si="131"/>
        <v>-29182.746334738869</v>
      </c>
      <c r="X577" s="3">
        <f t="shared" si="132"/>
        <v>2391.5285316652507</v>
      </c>
      <c r="Y577" s="3">
        <f t="shared" si="133"/>
        <v>8710952.9334968161</v>
      </c>
      <c r="Z577" s="3">
        <f t="shared" si="134"/>
        <v>-620815.2034717435</v>
      </c>
      <c r="AA577" s="3">
        <f t="shared" si="135"/>
        <v>8733047.1501337048</v>
      </c>
      <c r="AB577" s="3">
        <f t="shared" si="136"/>
        <v>8670952.9334968161</v>
      </c>
      <c r="AC577" s="3">
        <f t="shared" si="137"/>
        <v>-618315.2034717435</v>
      </c>
      <c r="AD577" s="3">
        <f t="shared" si="138"/>
        <v>8692970.6352754552</v>
      </c>
      <c r="AE577" s="3">
        <f t="shared" si="139"/>
        <v>8685952.9334968161</v>
      </c>
      <c r="AF577" s="3">
        <f t="shared" si="143"/>
        <v>-643315.2034717435</v>
      </c>
      <c r="AG577" s="3">
        <f t="shared" si="140"/>
        <v>8709743.5561524909</v>
      </c>
      <c r="AH577" s="3">
        <f t="shared" si="141"/>
        <v>1.6101975799198018E-2</v>
      </c>
      <c r="AI577" s="3">
        <f t="shared" si="142"/>
        <v>-1.166899565403359E-3</v>
      </c>
    </row>
    <row r="578" spans="19:35" x14ac:dyDescent="0.3">
      <c r="S578" s="6">
        <v>561</v>
      </c>
      <c r="T578" s="4">
        <f t="shared" si="128"/>
        <v>280.5</v>
      </c>
      <c r="U578" s="3">
        <f t="shared" si="129"/>
        <v>-8720137.9336393531</v>
      </c>
      <c r="V578" s="3">
        <f t="shared" si="130"/>
        <v>630706.89529940009</v>
      </c>
      <c r="W578" s="3">
        <f t="shared" si="131"/>
        <v>-29178.229730527193</v>
      </c>
      <c r="X578" s="3">
        <f t="shared" si="132"/>
        <v>2391.2012163371551</v>
      </c>
      <c r="Y578" s="3">
        <f t="shared" si="133"/>
        <v>8725546.5644974783</v>
      </c>
      <c r="Z578" s="3">
        <f t="shared" si="134"/>
        <v>-622011.1313252924</v>
      </c>
      <c r="AA578" s="3">
        <f t="shared" si="135"/>
        <v>8747688.8774525076</v>
      </c>
      <c r="AB578" s="3">
        <f t="shared" si="136"/>
        <v>8685546.5644974783</v>
      </c>
      <c r="AC578" s="3">
        <f t="shared" si="137"/>
        <v>-619511.1313252924</v>
      </c>
      <c r="AD578" s="3">
        <f t="shared" si="138"/>
        <v>8707612.3688350916</v>
      </c>
      <c r="AE578" s="3">
        <f t="shared" si="139"/>
        <v>8700546.5644974783</v>
      </c>
      <c r="AF578" s="3">
        <f t="shared" si="143"/>
        <v>-644511.1313252924</v>
      </c>
      <c r="AG578" s="3">
        <f t="shared" si="140"/>
        <v>8724385.6585659422</v>
      </c>
      <c r="AH578" s="3">
        <f t="shared" si="141"/>
        <v>1.604800170051288E-2</v>
      </c>
      <c r="AI578" s="3">
        <f t="shared" si="142"/>
        <v>-1.1632429274615389E-3</v>
      </c>
    </row>
    <row r="579" spans="19:35" x14ac:dyDescent="0.3">
      <c r="S579" s="6">
        <v>562</v>
      </c>
      <c r="T579" s="4">
        <f t="shared" si="128"/>
        <v>281</v>
      </c>
      <c r="U579" s="3">
        <f t="shared" si="129"/>
        <v>-8734727.0444926172</v>
      </c>
      <c r="V579" s="3">
        <f t="shared" si="130"/>
        <v>631902.49561675801</v>
      </c>
      <c r="W579" s="3">
        <f t="shared" si="131"/>
        <v>-29173.720242049349</v>
      </c>
      <c r="X579" s="3">
        <f t="shared" si="132"/>
        <v>2390.8743450745383</v>
      </c>
      <c r="Y579" s="3">
        <f t="shared" si="133"/>
        <v>8740137.9336393531</v>
      </c>
      <c r="Z579" s="3">
        <f t="shared" si="134"/>
        <v>-623206.89529940009</v>
      </c>
      <c r="AA579" s="3">
        <f t="shared" si="135"/>
        <v>8762328.3397388328</v>
      </c>
      <c r="AB579" s="3">
        <f t="shared" si="136"/>
        <v>8700137.9336393531</v>
      </c>
      <c r="AC579" s="3">
        <f t="shared" si="137"/>
        <v>-620706.89529940009</v>
      </c>
      <c r="AD579" s="3">
        <f t="shared" si="138"/>
        <v>8722251.8373538516</v>
      </c>
      <c r="AE579" s="3">
        <f t="shared" si="139"/>
        <v>8715137.9336393531</v>
      </c>
      <c r="AF579" s="3">
        <f t="shared" si="143"/>
        <v>-645706.89529940009</v>
      </c>
      <c r="AG579" s="3">
        <f t="shared" si="140"/>
        <v>8739025.4946988672</v>
      </c>
      <c r="AH579" s="3">
        <f t="shared" si="141"/>
        <v>1.5994306813363793E-2</v>
      </c>
      <c r="AI579" s="3">
        <f t="shared" si="142"/>
        <v>-1.1596039692636584E-3</v>
      </c>
    </row>
    <row r="580" spans="19:35" x14ac:dyDescent="0.3">
      <c r="S580" s="6">
        <v>563</v>
      </c>
      <c r="T580" s="4">
        <f t="shared" si="128"/>
        <v>281.5</v>
      </c>
      <c r="U580" s="3">
        <f t="shared" si="129"/>
        <v>-8749313.9006150644</v>
      </c>
      <c r="V580" s="3">
        <f t="shared" si="130"/>
        <v>633097.93249939429</v>
      </c>
      <c r="W580" s="3">
        <f t="shared" si="131"/>
        <v>-29169.217844681385</v>
      </c>
      <c r="X580" s="3">
        <f t="shared" si="132"/>
        <v>2390.5479165571905</v>
      </c>
      <c r="Y580" s="3">
        <f t="shared" si="133"/>
        <v>8754727.0444926172</v>
      </c>
      <c r="Z580" s="3">
        <f t="shared" si="134"/>
        <v>-624402.49561675801</v>
      </c>
      <c r="AA580" s="3">
        <f t="shared" si="135"/>
        <v>8776965.5405557379</v>
      </c>
      <c r="AB580" s="3">
        <f t="shared" si="136"/>
        <v>8714727.0444926172</v>
      </c>
      <c r="AC580" s="3">
        <f t="shared" si="137"/>
        <v>-621902.49561675801</v>
      </c>
      <c r="AD580" s="3">
        <f t="shared" si="138"/>
        <v>8736889.0443947725</v>
      </c>
      <c r="AE580" s="3">
        <f t="shared" si="139"/>
        <v>8729727.0444926172</v>
      </c>
      <c r="AF580" s="3">
        <f t="shared" si="143"/>
        <v>-646902.49561675801</v>
      </c>
      <c r="AG580" s="3">
        <f t="shared" si="140"/>
        <v>8753663.0681207404</v>
      </c>
      <c r="AH580" s="3">
        <f t="shared" si="141"/>
        <v>1.5940889190153837E-2</v>
      </c>
      <c r="AI580" s="3">
        <f t="shared" si="142"/>
        <v>-1.1559825757545667E-3</v>
      </c>
    </row>
    <row r="581" spans="19:35" x14ac:dyDescent="0.3">
      <c r="S581" s="6">
        <v>564</v>
      </c>
      <c r="T581" s="4">
        <f t="shared" si="128"/>
        <v>282</v>
      </c>
      <c r="U581" s="3">
        <f t="shared" si="129"/>
        <v>-8763898.505552182</v>
      </c>
      <c r="V581" s="3">
        <f t="shared" si="130"/>
        <v>634293.20616867719</v>
      </c>
      <c r="W581" s="3">
        <f t="shared" si="131"/>
        <v>-29164.722513929762</v>
      </c>
      <c r="X581" s="3">
        <f t="shared" si="132"/>
        <v>2390.2219294708279</v>
      </c>
      <c r="Y581" s="3">
        <f t="shared" si="133"/>
        <v>8769313.9006150644</v>
      </c>
      <c r="Z581" s="3">
        <f t="shared" si="134"/>
        <v>-625597.93249939429</v>
      </c>
      <c r="AA581" s="3">
        <f t="shared" si="135"/>
        <v>8791600.4834539723</v>
      </c>
      <c r="AB581" s="3">
        <f t="shared" si="136"/>
        <v>8729313.9006150644</v>
      </c>
      <c r="AC581" s="3">
        <f t="shared" si="137"/>
        <v>-623097.93249939429</v>
      </c>
      <c r="AD581" s="3">
        <f t="shared" si="138"/>
        <v>8751523.9935085829</v>
      </c>
      <c r="AE581" s="3">
        <f t="shared" si="139"/>
        <v>8744313.9006150644</v>
      </c>
      <c r="AF581" s="3">
        <f t="shared" si="143"/>
        <v>-648097.93249939429</v>
      </c>
      <c r="AG581" s="3">
        <f t="shared" si="140"/>
        <v>8768298.3823886737</v>
      </c>
      <c r="AH581" s="3">
        <f t="shared" si="141"/>
        <v>1.5887746900360499E-2</v>
      </c>
      <c r="AI581" s="3">
        <f t="shared" si="142"/>
        <v>-1.1523786328175873E-3</v>
      </c>
    </row>
    <row r="582" spans="19:35" x14ac:dyDescent="0.3">
      <c r="S582" s="6">
        <v>565</v>
      </c>
      <c r="T582" s="4">
        <f t="shared" si="128"/>
        <v>282.5</v>
      </c>
      <c r="U582" s="3">
        <f t="shared" si="129"/>
        <v>-8778480.8628372103</v>
      </c>
      <c r="V582" s="3">
        <f t="shared" si="130"/>
        <v>635488.31684531795</v>
      </c>
      <c r="W582" s="3">
        <f t="shared" si="131"/>
        <v>-29160.234225430409</v>
      </c>
      <c r="X582" s="3">
        <f t="shared" si="132"/>
        <v>2389.8963825070568</v>
      </c>
      <c r="Y582" s="3">
        <f t="shared" si="133"/>
        <v>8783898.505552182</v>
      </c>
      <c r="Z582" s="3">
        <f t="shared" si="134"/>
        <v>-626793.20616867719</v>
      </c>
      <c r="AA582" s="3">
        <f t="shared" si="135"/>
        <v>8806233.1719720587</v>
      </c>
      <c r="AB582" s="3">
        <f t="shared" si="136"/>
        <v>8743898.505552182</v>
      </c>
      <c r="AC582" s="3">
        <f t="shared" si="137"/>
        <v>-624293.20616867719</v>
      </c>
      <c r="AD582" s="3">
        <f t="shared" si="138"/>
        <v>8766156.6882337928</v>
      </c>
      <c r="AE582" s="3">
        <f t="shared" si="139"/>
        <v>8758898.505552182</v>
      </c>
      <c r="AF582" s="3">
        <f t="shared" si="143"/>
        <v>-649293.20616867719</v>
      </c>
      <c r="AG582" s="3">
        <f t="shared" si="140"/>
        <v>8782931.4410475194</v>
      </c>
      <c r="AH582" s="3">
        <f t="shared" si="141"/>
        <v>1.5834878030355441E-2</v>
      </c>
      <c r="AI582" s="3">
        <f t="shared" si="142"/>
        <v>-1.1487920272653307E-3</v>
      </c>
    </row>
    <row r="583" spans="19:35" x14ac:dyDescent="0.3">
      <c r="S583" s="6">
        <v>566</v>
      </c>
      <c r="T583" s="4">
        <f t="shared" si="128"/>
        <v>283</v>
      </c>
      <c r="U583" s="3">
        <f t="shared" si="129"/>
        <v>-8793060.9759912062</v>
      </c>
      <c r="V583" s="3">
        <f t="shared" si="130"/>
        <v>636683.26474937354</v>
      </c>
      <c r="W583" s="3">
        <f t="shared" si="131"/>
        <v>-29155.75295494782</v>
      </c>
      <c r="X583" s="3">
        <f t="shared" si="132"/>
        <v>2389.5712743633408</v>
      </c>
      <c r="Y583" s="3">
        <f t="shared" si="133"/>
        <v>8798480.8628372103</v>
      </c>
      <c r="Z583" s="3">
        <f t="shared" si="134"/>
        <v>-627988.31684531795</v>
      </c>
      <c r="AA583" s="3">
        <f t="shared" si="135"/>
        <v>8820863.6096363515</v>
      </c>
      <c r="AB583" s="3">
        <f t="shared" si="136"/>
        <v>8758480.8628372103</v>
      </c>
      <c r="AC583" s="3">
        <f t="shared" si="137"/>
        <v>-625488.31684531795</v>
      </c>
      <c r="AD583" s="3">
        <f t="shared" si="138"/>
        <v>8780787.1320967358</v>
      </c>
      <c r="AE583" s="3">
        <f t="shared" si="139"/>
        <v>8773480.8628372103</v>
      </c>
      <c r="AF583" s="3">
        <f t="shared" si="143"/>
        <v>-650488.31684531795</v>
      </c>
      <c r="AG583" s="3">
        <f t="shared" si="140"/>
        <v>8797562.2476299088</v>
      </c>
      <c r="AH583" s="3">
        <f t="shared" si="141"/>
        <v>1.5782280683226502E-2</v>
      </c>
      <c r="AI583" s="3">
        <f t="shared" si="142"/>
        <v>-1.1452226468306147E-3</v>
      </c>
    </row>
    <row r="584" spans="19:35" x14ac:dyDescent="0.3">
      <c r="S584" s="6">
        <v>567</v>
      </c>
      <c r="T584" s="4">
        <f t="shared" si="128"/>
        <v>283.5</v>
      </c>
      <c r="U584" s="3">
        <f t="shared" si="129"/>
        <v>-8807638.8485231102</v>
      </c>
      <c r="V584" s="3">
        <f t="shared" si="130"/>
        <v>637878.05010024959</v>
      </c>
      <c r="W584" s="3">
        <f t="shared" si="131"/>
        <v>-29151.278678374125</v>
      </c>
      <c r="X584" s="3">
        <f t="shared" si="132"/>
        <v>2389.2466037429645</v>
      </c>
      <c r="Y584" s="3">
        <f t="shared" si="133"/>
        <v>8813060.9759912062</v>
      </c>
      <c r="Z584" s="3">
        <f t="shared" si="134"/>
        <v>-629183.26474937354</v>
      </c>
      <c r="AA584" s="3">
        <f t="shared" si="135"/>
        <v>8835491.7999610957</v>
      </c>
      <c r="AB584" s="3">
        <f t="shared" si="136"/>
        <v>8773060.9759912062</v>
      </c>
      <c r="AC584" s="3">
        <f t="shared" si="137"/>
        <v>-626683.26474937354</v>
      </c>
      <c r="AD584" s="3">
        <f t="shared" si="138"/>
        <v>8795415.3286116458</v>
      </c>
      <c r="AE584" s="3">
        <f t="shared" si="139"/>
        <v>8788060.9759912062</v>
      </c>
      <c r="AF584" s="3">
        <f t="shared" si="143"/>
        <v>-651683.26474937354</v>
      </c>
      <c r="AG584" s="3">
        <f t="shared" si="140"/>
        <v>8812190.8056563288</v>
      </c>
      <c r="AH584" s="3">
        <f t="shared" si="141"/>
        <v>1.572995297860233E-2</v>
      </c>
      <c r="AI584" s="3">
        <f t="shared" si="142"/>
        <v>-1.1416703801575188E-3</v>
      </c>
    </row>
    <row r="585" spans="19:35" x14ac:dyDescent="0.3">
      <c r="S585" s="6">
        <v>568</v>
      </c>
      <c r="T585" s="4">
        <f t="shared" si="128"/>
        <v>284</v>
      </c>
      <c r="U585" s="3">
        <f t="shared" si="129"/>
        <v>-8822214.4839298073</v>
      </c>
      <c r="V585" s="3">
        <f t="shared" si="130"/>
        <v>639072.67311670352</v>
      </c>
      <c r="W585" s="3">
        <f t="shared" si="131"/>
        <v>-29146.811371728203</v>
      </c>
      <c r="X585" s="3">
        <f t="shared" si="132"/>
        <v>2388.9223693549998</v>
      </c>
      <c r="Y585" s="3">
        <f t="shared" si="133"/>
        <v>8827638.8485231102</v>
      </c>
      <c r="Z585" s="3">
        <f t="shared" si="134"/>
        <v>-630378.05010024959</v>
      </c>
      <c r="AA585" s="3">
        <f t="shared" si="135"/>
        <v>8850117.7464484964</v>
      </c>
      <c r="AB585" s="3">
        <f t="shared" si="136"/>
        <v>8787638.8485231102</v>
      </c>
      <c r="AC585" s="3">
        <f t="shared" si="137"/>
        <v>-627878.05010024959</v>
      </c>
      <c r="AD585" s="3">
        <f t="shared" si="138"/>
        <v>8810041.2812807113</v>
      </c>
      <c r="AE585" s="3">
        <f t="shared" si="139"/>
        <v>8802638.8485231102</v>
      </c>
      <c r="AF585" s="3">
        <f t="shared" si="143"/>
        <v>-652878.05010024959</v>
      </c>
      <c r="AG585" s="3">
        <f t="shared" si="140"/>
        <v>8826817.1186351739</v>
      </c>
      <c r="AH585" s="3">
        <f t="shared" si="141"/>
        <v>1.5677893052478388E-2</v>
      </c>
      <c r="AI585" s="3">
        <f t="shared" si="142"/>
        <v>-1.138135116792483E-3</v>
      </c>
    </row>
    <row r="586" spans="19:35" x14ac:dyDescent="0.3">
      <c r="S586" s="6">
        <v>569</v>
      </c>
      <c r="T586" s="4">
        <f t="shared" si="128"/>
        <v>284.5</v>
      </c>
      <c r="U586" s="3">
        <f t="shared" si="129"/>
        <v>-8836787.8856961988</v>
      </c>
      <c r="V586" s="3">
        <f t="shared" si="130"/>
        <v>640267.13401684724</v>
      </c>
      <c r="W586" s="3">
        <f t="shared" si="131"/>
        <v>-29142.351011154773</v>
      </c>
      <c r="X586" s="3">
        <f t="shared" si="132"/>
        <v>2388.5985699142725</v>
      </c>
      <c r="Y586" s="3">
        <f t="shared" si="133"/>
        <v>8842214.4839298073</v>
      </c>
      <c r="Z586" s="3">
        <f t="shared" si="134"/>
        <v>-631572.67311670352</v>
      </c>
      <c r="AA586" s="3">
        <f t="shared" si="135"/>
        <v>8864741.4525887799</v>
      </c>
      <c r="AB586" s="3">
        <f t="shared" si="136"/>
        <v>8802214.4839298073</v>
      </c>
      <c r="AC586" s="3">
        <f t="shared" si="137"/>
        <v>-629072.67311670352</v>
      </c>
      <c r="AD586" s="3">
        <f t="shared" si="138"/>
        <v>8824664.9935941398</v>
      </c>
      <c r="AE586" s="3">
        <f t="shared" si="139"/>
        <v>8817214.4839298073</v>
      </c>
      <c r="AF586" s="3">
        <f t="shared" si="143"/>
        <v>-654072.67311670352</v>
      </c>
      <c r="AG586" s="3">
        <f t="shared" si="140"/>
        <v>8841441.1900628284</v>
      </c>
      <c r="AH586" s="3">
        <f t="shared" si="141"/>
        <v>1.5626099057046018E-2</v>
      </c>
      <c r="AI586" s="3">
        <f t="shared" si="142"/>
        <v>-1.1346167471755757E-3</v>
      </c>
    </row>
    <row r="587" spans="19:35" x14ac:dyDescent="0.3">
      <c r="S587" s="6">
        <v>570</v>
      </c>
      <c r="T587" s="4">
        <f t="shared" si="128"/>
        <v>285</v>
      </c>
      <c r="U587" s="3">
        <f t="shared" si="129"/>
        <v>-8851359.0572952498</v>
      </c>
      <c r="V587" s="3">
        <f t="shared" si="130"/>
        <v>641461.43301815016</v>
      </c>
      <c r="W587" s="3">
        <f t="shared" si="131"/>
        <v>-29137.897572923514</v>
      </c>
      <c r="X587" s="3">
        <f t="shared" si="132"/>
        <v>2388.2752041413273</v>
      </c>
      <c r="Y587" s="3">
        <f t="shared" si="133"/>
        <v>8856787.8856961988</v>
      </c>
      <c r="Z587" s="3">
        <f t="shared" si="134"/>
        <v>-632767.13401684724</v>
      </c>
      <c r="AA587" s="3">
        <f t="shared" si="135"/>
        <v>8879362.9218602628</v>
      </c>
      <c r="AB587" s="3">
        <f t="shared" si="136"/>
        <v>8816787.8856961988</v>
      </c>
      <c r="AC587" s="3">
        <f t="shared" si="137"/>
        <v>-630267.13401684724</v>
      </c>
      <c r="AD587" s="3">
        <f t="shared" si="138"/>
        <v>8839286.4690302387</v>
      </c>
      <c r="AE587" s="3">
        <f t="shared" si="139"/>
        <v>8831787.8856961988</v>
      </c>
      <c r="AF587" s="3">
        <f t="shared" si="143"/>
        <v>-655267.13401684724</v>
      </c>
      <c r="AG587" s="3">
        <f t="shared" si="140"/>
        <v>8856063.0234237146</v>
      </c>
      <c r="AH587" s="3">
        <f t="shared" si="141"/>
        <v>1.557456916052259E-2</v>
      </c>
      <c r="AI587" s="3">
        <f t="shared" si="142"/>
        <v>-1.1311151626317837E-3</v>
      </c>
    </row>
    <row r="588" spans="19:35" x14ac:dyDescent="0.3">
      <c r="S588" s="6">
        <v>571</v>
      </c>
      <c r="T588" s="4">
        <f t="shared" si="128"/>
        <v>285.5</v>
      </c>
      <c r="U588" s="3">
        <f t="shared" si="129"/>
        <v>-8865928.0021880697</v>
      </c>
      <c r="V588" s="3">
        <f t="shared" si="130"/>
        <v>642655.5703374421</v>
      </c>
      <c r="W588" s="3">
        <f t="shared" si="131"/>
        <v>-29133.451033428184</v>
      </c>
      <c r="X588" s="3">
        <f t="shared" si="132"/>
        <v>2387.952270762396</v>
      </c>
      <c r="Y588" s="3">
        <f t="shared" si="133"/>
        <v>8871359.0572952498</v>
      </c>
      <c r="Z588" s="3">
        <f t="shared" si="134"/>
        <v>-633961.43301815016</v>
      </c>
      <c r="AA588" s="3">
        <f t="shared" si="135"/>
        <v>8893982.1577293985</v>
      </c>
      <c r="AB588" s="3">
        <f t="shared" si="136"/>
        <v>8831359.0572952498</v>
      </c>
      <c r="AC588" s="3">
        <f t="shared" si="137"/>
        <v>-631461.43301815016</v>
      </c>
      <c r="AD588" s="3">
        <f t="shared" si="138"/>
        <v>8853905.7110554427</v>
      </c>
      <c r="AE588" s="3">
        <f t="shared" si="139"/>
        <v>8846359.0572952498</v>
      </c>
      <c r="AF588" s="3">
        <f t="shared" si="143"/>
        <v>-656461.43301815016</v>
      </c>
      <c r="AG588" s="3">
        <f t="shared" si="140"/>
        <v>8870682.6221903544</v>
      </c>
      <c r="AH588" s="3">
        <f t="shared" si="141"/>
        <v>1.5523301546984385E-2</v>
      </c>
      <c r="AI588" s="3">
        <f t="shared" si="142"/>
        <v>-1.1276302553624561E-3</v>
      </c>
    </row>
    <row r="589" spans="19:35" x14ac:dyDescent="0.3">
      <c r="S589" s="6">
        <v>572</v>
      </c>
      <c r="T589" s="4">
        <f t="shared" si="128"/>
        <v>286</v>
      </c>
      <c r="U589" s="3">
        <f t="shared" si="129"/>
        <v>-8880494.723823959</v>
      </c>
      <c r="V589" s="3">
        <f t="shared" si="130"/>
        <v>643849.54619091563</v>
      </c>
      <c r="W589" s="3">
        <f t="shared" si="131"/>
        <v>-29129.011369185748</v>
      </c>
      <c r="X589" s="3">
        <f t="shared" si="132"/>
        <v>2387.6297685093623</v>
      </c>
      <c r="Y589" s="3">
        <f t="shared" si="133"/>
        <v>8885928.0021880697</v>
      </c>
      <c r="Z589" s="3">
        <f t="shared" si="134"/>
        <v>-635155.5703374421</v>
      </c>
      <c r="AA589" s="3">
        <f t="shared" si="135"/>
        <v>8908599.1636508573</v>
      </c>
      <c r="AB589" s="3">
        <f t="shared" si="136"/>
        <v>8845928.0021880697</v>
      </c>
      <c r="AC589" s="3">
        <f t="shared" si="137"/>
        <v>-632655.5703374421</v>
      </c>
      <c r="AD589" s="3">
        <f t="shared" si="138"/>
        <v>8868522.723124411</v>
      </c>
      <c r="AE589" s="3">
        <f t="shared" si="139"/>
        <v>8860928.0021880697</v>
      </c>
      <c r="AF589" s="3">
        <f t="shared" si="143"/>
        <v>-657655.5703374421</v>
      </c>
      <c r="AG589" s="3">
        <f t="shared" si="140"/>
        <v>8885299.9898234457</v>
      </c>
      <c r="AH589" s="3">
        <f t="shared" si="141"/>
        <v>1.5472294416201647E-2</v>
      </c>
      <c r="AI589" s="3">
        <f t="shared" si="142"/>
        <v>-1.1241619184368448E-3</v>
      </c>
    </row>
    <row r="590" spans="19:35" x14ac:dyDescent="0.3">
      <c r="S590" s="6">
        <v>573</v>
      </c>
      <c r="T590" s="4">
        <f t="shared" si="128"/>
        <v>286.5</v>
      </c>
      <c r="U590" s="3">
        <f t="shared" si="129"/>
        <v>-8895059.2256404795</v>
      </c>
      <c r="V590" s="3">
        <f t="shared" si="130"/>
        <v>645043.3607941299</v>
      </c>
      <c r="W590" s="3">
        <f t="shared" si="131"/>
        <v>-29124.578556835506</v>
      </c>
      <c r="X590" s="3">
        <f t="shared" si="132"/>
        <v>2387.3076961197303</v>
      </c>
      <c r="Y590" s="3">
        <f t="shared" si="133"/>
        <v>8900494.723823959</v>
      </c>
      <c r="Z590" s="3">
        <f t="shared" si="134"/>
        <v>-636349.54619091563</v>
      </c>
      <c r="AA590" s="3">
        <f t="shared" si="135"/>
        <v>8923213.9430675711</v>
      </c>
      <c r="AB590" s="3">
        <f t="shared" si="136"/>
        <v>8860494.723823959</v>
      </c>
      <c r="AC590" s="3">
        <f t="shared" si="137"/>
        <v>-633849.54619091563</v>
      </c>
      <c r="AD590" s="3">
        <f t="shared" si="138"/>
        <v>8883137.5086800642</v>
      </c>
      <c r="AE590" s="3">
        <f t="shared" si="139"/>
        <v>8875494.723823959</v>
      </c>
      <c r="AF590" s="3">
        <f t="shared" si="143"/>
        <v>-658849.54619091563</v>
      </c>
      <c r="AG590" s="3">
        <f t="shared" si="140"/>
        <v>8899915.1297719069</v>
      </c>
      <c r="AH590" s="3">
        <f t="shared" si="141"/>
        <v>1.5421545983475048E-2</v>
      </c>
      <c r="AI590" s="3">
        <f t="shared" si="142"/>
        <v>-1.1207100457837037E-3</v>
      </c>
    </row>
    <row r="591" spans="19:35" x14ac:dyDescent="0.3">
      <c r="S591" s="6">
        <v>574</v>
      </c>
      <c r="T591" s="4">
        <f t="shared" si="128"/>
        <v>287</v>
      </c>
      <c r="U591" s="3">
        <f t="shared" si="129"/>
        <v>-8909621.5110635106</v>
      </c>
      <c r="V591" s="3">
        <f t="shared" si="130"/>
        <v>646237.01436201227</v>
      </c>
      <c r="W591" s="3">
        <f t="shared" si="131"/>
        <v>-29120.15257313825</v>
      </c>
      <c r="X591" s="3">
        <f t="shared" si="132"/>
        <v>2386.9860523365905</v>
      </c>
      <c r="Y591" s="3">
        <f t="shared" si="133"/>
        <v>8915059.2256404795</v>
      </c>
      <c r="Z591" s="3">
        <f t="shared" si="134"/>
        <v>-637543.3607941299</v>
      </c>
      <c r="AA591" s="3">
        <f t="shared" si="135"/>
        <v>8937826.4994108099</v>
      </c>
      <c r="AB591" s="3">
        <f t="shared" si="136"/>
        <v>8875059.2256404795</v>
      </c>
      <c r="AC591" s="3">
        <f t="shared" si="137"/>
        <v>-635043.3607941299</v>
      </c>
      <c r="AD591" s="3">
        <f t="shared" si="138"/>
        <v>8897750.0711536556</v>
      </c>
      <c r="AE591" s="3">
        <f t="shared" si="139"/>
        <v>8890059.2256404795</v>
      </c>
      <c r="AF591" s="3">
        <f t="shared" si="143"/>
        <v>-660043.3607941299</v>
      </c>
      <c r="AG591" s="3">
        <f t="shared" si="140"/>
        <v>8914528.0454729516</v>
      </c>
      <c r="AH591" s="3">
        <f t="shared" si="141"/>
        <v>1.5371054479474566E-2</v>
      </c>
      <c r="AI591" s="3">
        <f t="shared" si="142"/>
        <v>-1.1172745321830094E-3</v>
      </c>
    </row>
    <row r="592" spans="19:35" x14ac:dyDescent="0.3">
      <c r="S592" s="6">
        <v>575</v>
      </c>
      <c r="T592" s="4">
        <f t="shared" si="128"/>
        <v>287.5</v>
      </c>
      <c r="U592" s="3">
        <f t="shared" si="129"/>
        <v>-8924181.5835073162</v>
      </c>
      <c r="V592" s="3">
        <f t="shared" si="130"/>
        <v>647430.50710886193</v>
      </c>
      <c r="W592" s="3">
        <f t="shared" si="131"/>
        <v>-29115.733394975399</v>
      </c>
      <c r="X592" s="3">
        <f t="shared" si="132"/>
        <v>2386.664835908588</v>
      </c>
      <c r="Y592" s="3">
        <f t="shared" si="133"/>
        <v>8929621.5110635106</v>
      </c>
      <c r="Z592" s="3">
        <f t="shared" si="134"/>
        <v>-638737.01436201227</v>
      </c>
      <c r="AA592" s="3">
        <f t="shared" si="135"/>
        <v>8952436.8361002281</v>
      </c>
      <c r="AB592" s="3">
        <f t="shared" si="136"/>
        <v>8889621.5110635106</v>
      </c>
      <c r="AC592" s="3">
        <f t="shared" si="137"/>
        <v>-636237.01436201227</v>
      </c>
      <c r="AD592" s="3">
        <f t="shared" si="138"/>
        <v>8912360.4139648303</v>
      </c>
      <c r="AE592" s="3">
        <f t="shared" si="139"/>
        <v>8904621.5110635106</v>
      </c>
      <c r="AF592" s="3">
        <f t="shared" si="143"/>
        <v>-661237.01436201227</v>
      </c>
      <c r="AG592" s="3">
        <f t="shared" si="140"/>
        <v>8929138.7403521389</v>
      </c>
      <c r="AH592" s="3">
        <f t="shared" si="141"/>
        <v>1.5320818150080202E-2</v>
      </c>
      <c r="AI592" s="3">
        <f t="shared" si="142"/>
        <v>-1.1138552732577697E-3</v>
      </c>
    </row>
    <row r="593" spans="19:35" x14ac:dyDescent="0.3">
      <c r="S593" s="6">
        <v>576</v>
      </c>
      <c r="T593" s="4">
        <f t="shared" si="128"/>
        <v>288</v>
      </c>
      <c r="U593" s="3">
        <f t="shared" si="129"/>
        <v>-8938739.4463746008</v>
      </c>
      <c r="V593" s="3">
        <f t="shared" si="130"/>
        <v>648623.83924835245</v>
      </c>
      <c r="W593" s="3">
        <f t="shared" si="131"/>
        <v>-29111.320999348176</v>
      </c>
      <c r="X593" s="3">
        <f t="shared" si="132"/>
        <v>2386.3440455898899</v>
      </c>
      <c r="Y593" s="3">
        <f t="shared" si="133"/>
        <v>8944181.5835073162</v>
      </c>
      <c r="Z593" s="3">
        <f t="shared" si="134"/>
        <v>-639930.50710886193</v>
      </c>
      <c r="AA593" s="3">
        <f t="shared" si="135"/>
        <v>8967044.9565439373</v>
      </c>
      <c r="AB593" s="3">
        <f t="shared" si="136"/>
        <v>8904181.5835073162</v>
      </c>
      <c r="AC593" s="3">
        <f t="shared" si="137"/>
        <v>-637430.50710886193</v>
      </c>
      <c r="AD593" s="3">
        <f t="shared" si="138"/>
        <v>8926968.5405216888</v>
      </c>
      <c r="AE593" s="3">
        <f t="shared" si="139"/>
        <v>8919181.5835073162</v>
      </c>
      <c r="AF593" s="3">
        <f t="shared" si="143"/>
        <v>-662430.50710886193</v>
      </c>
      <c r="AG593" s="3">
        <f t="shared" si="140"/>
        <v>8943747.2178234439</v>
      </c>
      <c r="AH593" s="3">
        <f t="shared" si="141"/>
        <v>1.5270835256224479E-2</v>
      </c>
      <c r="AI593" s="3">
        <f t="shared" si="142"/>
        <v>-1.1104521654659099E-3</v>
      </c>
    </row>
    <row r="594" spans="19:35" x14ac:dyDescent="0.3">
      <c r="S594" s="6">
        <v>577</v>
      </c>
      <c r="T594" s="4">
        <f t="shared" ref="T594:T657" si="144">T593+$C$4</f>
        <v>288.5</v>
      </c>
      <c r="U594" s="3">
        <f t="shared" ref="U594:U657" si="145">U593+(W593*$C$4)+(AH593*POWER($C$4,2))</f>
        <v>-8953295.1030565649</v>
      </c>
      <c r="V594" s="3">
        <f t="shared" ref="V594:V657" si="146">V593+(X593*$C$4)+(AI593*POWER($C$4,2))</f>
        <v>649817.01099353435</v>
      </c>
      <c r="W594" s="3">
        <f t="shared" ref="W594:W657" si="147">W593+(AH593*T594)</f>
        <v>-29106.915363376756</v>
      </c>
      <c r="X594" s="3">
        <f t="shared" ref="X594:X657" si="148">X593+(AI593*T594)</f>
        <v>2386.0236801401529</v>
      </c>
      <c r="Y594" s="3">
        <f t="shared" ref="Y594:Y657" si="149">$C$19-U593</f>
        <v>8958739.4463746008</v>
      </c>
      <c r="Z594" s="3">
        <f t="shared" ref="Z594:Z657" si="150">$C$20-V593</f>
        <v>-641123.83924835245</v>
      </c>
      <c r="AA594" s="3">
        <f t="shared" ref="AA594:AA657" si="151">SQRT(POWER(Y594,2)+POWER(Z594,2))</f>
        <v>8981650.8641385529</v>
      </c>
      <c r="AB594" s="3">
        <f t="shared" ref="AB594:AB657" si="152">$F$19-U593</f>
        <v>8918739.4463746008</v>
      </c>
      <c r="AC594" s="3">
        <f t="shared" ref="AC594:AC657" si="153">$F$20-V593</f>
        <v>-638623.83924835245</v>
      </c>
      <c r="AD594" s="3">
        <f t="shared" ref="AD594:AD657" si="154">SQRT(POWER(AB594,2)+POWER(AC594,2))</f>
        <v>8941574.4542208351</v>
      </c>
      <c r="AE594" s="3">
        <f t="shared" ref="AE594:AE657" si="155">$I$19-U593</f>
        <v>8933739.4463746008</v>
      </c>
      <c r="AF594" s="3">
        <f t="shared" si="143"/>
        <v>-663623.83924835245</v>
      </c>
      <c r="AG594" s="3">
        <f t="shared" ref="AG594:AG657" si="156">SQRT(POWER(AE594,2)+POWER(AF594,2))</f>
        <v>8958353.4812893085</v>
      </c>
      <c r="AH594" s="3">
        <f t="shared" ref="AH594:AH657" si="157">($C$24*(Y594/POWER(POWER(AA594,2)+POWER($C$25,2),3/2)))+($F$24*(AB594/POWER(POWER(AD594,2)+POWER($F$25,2),3/2)))+($I$24*(AE594/POWER(POWER(AG594,2)+POWER($I$25,2),3/2)))</f>
        <v>1.5221104073737324E-2</v>
      </c>
      <c r="AI594" s="3">
        <f t="shared" ref="AI594:AI657" si="158">$C$24*(Z594/POWER(POWER(AA594,2)+POWER($C$25,2),3/2))+$F$24*(AC594/POWER(POWER(AD594,2)+POWER($F$25,2),3/2))+$I$24*(AF594/POWER(POWER(AG594,2)+POWER($I$25,2),3/2))</f>
        <v>-1.1070651060922864E-3</v>
      </c>
    </row>
    <row r="595" spans="19:35" x14ac:dyDescent="0.3">
      <c r="S595" s="6">
        <v>578</v>
      </c>
      <c r="T595" s="4">
        <f t="shared" si="144"/>
        <v>289</v>
      </c>
      <c r="U595" s="3">
        <f t="shared" si="145"/>
        <v>-8967848.5569329765</v>
      </c>
      <c r="V595" s="3">
        <f t="shared" si="146"/>
        <v>651010.02255683823</v>
      </c>
      <c r="W595" s="3">
        <f t="shared" si="147"/>
        <v>-29102.516464299446</v>
      </c>
      <c r="X595" s="3">
        <f t="shared" si="148"/>
        <v>2385.7037383244924</v>
      </c>
      <c r="Y595" s="3">
        <f t="shared" si="149"/>
        <v>8973295.1030565649</v>
      </c>
      <c r="Z595" s="3">
        <f t="shared" si="150"/>
        <v>-642317.01099353435</v>
      </c>
      <c r="AA595" s="3">
        <f t="shared" si="151"/>
        <v>8996254.5622692667</v>
      </c>
      <c r="AB595" s="3">
        <f t="shared" si="152"/>
        <v>8933295.1030565649</v>
      </c>
      <c r="AC595" s="3">
        <f t="shared" si="153"/>
        <v>-639817.01099353435</v>
      </c>
      <c r="AD595" s="3">
        <f t="shared" si="154"/>
        <v>8956178.1584474482</v>
      </c>
      <c r="AE595" s="3">
        <f t="shared" si="155"/>
        <v>8948295.1030565649</v>
      </c>
      <c r="AF595" s="3">
        <f t="shared" ref="AF595:AF658" si="159">$I$20-V594</f>
        <v>-664817.01099353435</v>
      </c>
      <c r="AG595" s="3">
        <f t="shared" si="156"/>
        <v>8972957.5341407061</v>
      </c>
      <c r="AH595" s="3">
        <f t="shared" si="157"/>
        <v>1.5171622893192269E-2</v>
      </c>
      <c r="AI595" s="3">
        <f t="shared" si="158"/>
        <v>-1.1036939932407494E-3</v>
      </c>
    </row>
    <row r="596" spans="19:35" x14ac:dyDescent="0.3">
      <c r="S596" s="6">
        <v>579</v>
      </c>
      <c r="T596" s="4">
        <f t="shared" si="144"/>
        <v>289.5</v>
      </c>
      <c r="U596" s="3">
        <f t="shared" si="145"/>
        <v>-8982399.8113722205</v>
      </c>
      <c r="V596" s="3">
        <f t="shared" si="146"/>
        <v>652202.874150077</v>
      </c>
      <c r="W596" s="3">
        <f t="shared" si="147"/>
        <v>-29098.124279471867</v>
      </c>
      <c r="X596" s="3">
        <f t="shared" si="148"/>
        <v>2385.3842189134493</v>
      </c>
      <c r="Y596" s="3">
        <f t="shared" si="149"/>
        <v>8987848.5569329765</v>
      </c>
      <c r="Z596" s="3">
        <f t="shared" si="150"/>
        <v>-643510.02255683823</v>
      </c>
      <c r="AA596" s="3">
        <f t="shared" si="151"/>
        <v>9010856.0543098953</v>
      </c>
      <c r="AB596" s="3">
        <f t="shared" si="152"/>
        <v>8947848.5569329765</v>
      </c>
      <c r="AC596" s="3">
        <f t="shared" si="153"/>
        <v>-641010.02255683823</v>
      </c>
      <c r="AD596" s="3">
        <f t="shared" si="154"/>
        <v>8970779.6565753333</v>
      </c>
      <c r="AE596" s="3">
        <f t="shared" si="155"/>
        <v>8962848.5569329765</v>
      </c>
      <c r="AF596" s="3">
        <f t="shared" si="159"/>
        <v>-666010.02255683823</v>
      </c>
      <c r="AG596" s="3">
        <f t="shared" si="156"/>
        <v>8987559.3797572032</v>
      </c>
      <c r="AH596" s="3">
        <f t="shared" si="157"/>
        <v>1.512239001975452E-2</v>
      </c>
      <c r="AI596" s="3">
        <f t="shared" si="158"/>
        <v>-1.1003387258262947E-3</v>
      </c>
    </row>
    <row r="597" spans="19:35" x14ac:dyDescent="0.3">
      <c r="S597" s="6">
        <v>580</v>
      </c>
      <c r="T597" s="4">
        <f t="shared" si="144"/>
        <v>290</v>
      </c>
      <c r="U597" s="3">
        <f t="shared" si="145"/>
        <v>-8996948.8697313592</v>
      </c>
      <c r="V597" s="3">
        <f t="shared" si="146"/>
        <v>653395.56598444912</v>
      </c>
      <c r="W597" s="3">
        <f t="shared" si="147"/>
        <v>-29093.738786366139</v>
      </c>
      <c r="X597" s="3">
        <f t="shared" si="148"/>
        <v>2385.0651206829598</v>
      </c>
      <c r="Y597" s="3">
        <f t="shared" si="149"/>
        <v>9002399.8113722205</v>
      </c>
      <c r="Z597" s="3">
        <f t="shared" si="150"/>
        <v>-644702.874150077</v>
      </c>
      <c r="AA597" s="3">
        <f t="shared" si="151"/>
        <v>9025455.3436229452</v>
      </c>
      <c r="AB597" s="3">
        <f t="shared" si="152"/>
        <v>8962399.8113722205</v>
      </c>
      <c r="AC597" s="3">
        <f t="shared" si="153"/>
        <v>-642202.874150077</v>
      </c>
      <c r="AD597" s="3">
        <f t="shared" si="154"/>
        <v>8985378.9519669916</v>
      </c>
      <c r="AE597" s="3">
        <f t="shared" si="155"/>
        <v>8977399.8113722205</v>
      </c>
      <c r="AF597" s="3">
        <f t="shared" si="159"/>
        <v>-667202.874150077</v>
      </c>
      <c r="AG597" s="3">
        <f t="shared" si="156"/>
        <v>9002159.0215070136</v>
      </c>
      <c r="AH597" s="3">
        <f t="shared" si="157"/>
        <v>1.5073403773031596E-2</v>
      </c>
      <c r="AI597" s="3">
        <f t="shared" si="158"/>
        <v>-1.096999203567357E-3</v>
      </c>
    </row>
    <row r="598" spans="19:35" x14ac:dyDescent="0.3">
      <c r="S598" s="6">
        <v>581</v>
      </c>
      <c r="T598" s="4">
        <f t="shared" si="144"/>
        <v>290.5</v>
      </c>
      <c r="U598" s="3">
        <f t="shared" si="145"/>
        <v>-9011495.7353561912</v>
      </c>
      <c r="V598" s="3">
        <f t="shared" si="146"/>
        <v>654588.09827054082</v>
      </c>
      <c r="W598" s="3">
        <f t="shared" si="147"/>
        <v>-29089.359962570074</v>
      </c>
      <c r="X598" s="3">
        <f t="shared" si="148"/>
        <v>2384.7464424143236</v>
      </c>
      <c r="Y598" s="3">
        <f t="shared" si="149"/>
        <v>9016948.8697313592</v>
      </c>
      <c r="Z598" s="3">
        <f t="shared" si="150"/>
        <v>-645895.56598444912</v>
      </c>
      <c r="AA598" s="3">
        <f t="shared" si="151"/>
        <v>9040052.4335596655</v>
      </c>
      <c r="AB598" s="3">
        <f t="shared" si="152"/>
        <v>8976948.8697313592</v>
      </c>
      <c r="AC598" s="3">
        <f t="shared" si="153"/>
        <v>-643395.56598444912</v>
      </c>
      <c r="AD598" s="3">
        <f t="shared" si="154"/>
        <v>8999976.0479736608</v>
      </c>
      <c r="AE598" s="3">
        <f t="shared" si="155"/>
        <v>8991948.8697313592</v>
      </c>
      <c r="AF598" s="3">
        <f t="shared" si="159"/>
        <v>-668395.56598444912</v>
      </c>
      <c r="AG598" s="3">
        <f t="shared" si="156"/>
        <v>9016756.4627470523</v>
      </c>
      <c r="AH598" s="3">
        <f t="shared" si="157"/>
        <v>1.5024662486924828E-2</v>
      </c>
      <c r="AI598" s="3">
        <f t="shared" si="158"/>
        <v>-1.0936753269781207E-3</v>
      </c>
    </row>
    <row r="599" spans="19:35" x14ac:dyDescent="0.3">
      <c r="S599" s="6">
        <v>582</v>
      </c>
      <c r="T599" s="4">
        <f t="shared" si="144"/>
        <v>291</v>
      </c>
      <c r="U599" s="3">
        <f t="shared" si="145"/>
        <v>-9026040.4115813114</v>
      </c>
      <c r="V599" s="3">
        <f t="shared" si="146"/>
        <v>655780.47121832916</v>
      </c>
      <c r="W599" s="3">
        <f t="shared" si="147"/>
        <v>-29084.987785786379</v>
      </c>
      <c r="X599" s="3">
        <f t="shared" si="148"/>
        <v>2384.428182894173</v>
      </c>
      <c r="Y599" s="3">
        <f t="shared" si="149"/>
        <v>9031495.7353561912</v>
      </c>
      <c r="Z599" s="3">
        <f t="shared" si="150"/>
        <v>-647088.09827054082</v>
      </c>
      <c r="AA599" s="3">
        <f t="shared" si="151"/>
        <v>9054647.3274601065</v>
      </c>
      <c r="AB599" s="3">
        <f t="shared" si="152"/>
        <v>8991495.7353561912</v>
      </c>
      <c r="AC599" s="3">
        <f t="shared" si="153"/>
        <v>-644588.09827054082</v>
      </c>
      <c r="AD599" s="3">
        <f t="shared" si="154"/>
        <v>9014570.9479353819</v>
      </c>
      <c r="AE599" s="3">
        <f t="shared" si="155"/>
        <v>9006495.7353561912</v>
      </c>
      <c r="AF599" s="3">
        <f t="shared" si="159"/>
        <v>-669588.09827054082</v>
      </c>
      <c r="AG599" s="3">
        <f t="shared" si="156"/>
        <v>9031351.7068230063</v>
      </c>
      <c r="AH599" s="3">
        <f t="shared" si="157"/>
        <v>1.49761645094829E-2</v>
      </c>
      <c r="AI599" s="3">
        <f t="shared" si="158"/>
        <v>-1.0903669973609362E-3</v>
      </c>
    </row>
    <row r="600" spans="19:35" x14ac:dyDescent="0.3">
      <c r="S600" s="6">
        <v>583</v>
      </c>
      <c r="T600" s="4">
        <f t="shared" si="144"/>
        <v>291.5</v>
      </c>
      <c r="U600" s="3">
        <f t="shared" si="145"/>
        <v>-9040582.901730163</v>
      </c>
      <c r="V600" s="3">
        <f t="shared" si="146"/>
        <v>656972.68503718451</v>
      </c>
      <c r="W600" s="3">
        <f t="shared" si="147"/>
        <v>-29080.622233831866</v>
      </c>
      <c r="X600" s="3">
        <f t="shared" si="148"/>
        <v>2384.1103409144421</v>
      </c>
      <c r="Y600" s="3">
        <f t="shared" si="149"/>
        <v>9046040.4115813114</v>
      </c>
      <c r="Z600" s="3">
        <f t="shared" si="150"/>
        <v>-648280.47121832916</v>
      </c>
      <c r="AA600" s="3">
        <f t="shared" si="151"/>
        <v>9069240.0286531858</v>
      </c>
      <c r="AB600" s="3">
        <f t="shared" si="152"/>
        <v>9006040.4115813114</v>
      </c>
      <c r="AC600" s="3">
        <f t="shared" si="153"/>
        <v>-645780.47121832916</v>
      </c>
      <c r="AD600" s="3">
        <f t="shared" si="154"/>
        <v>9029163.6551810615</v>
      </c>
      <c r="AE600" s="3">
        <f t="shared" si="155"/>
        <v>9021040.4115813114</v>
      </c>
      <c r="AF600" s="3">
        <f t="shared" si="159"/>
        <v>-670780.47121832916</v>
      </c>
      <c r="AG600" s="3">
        <f t="shared" si="156"/>
        <v>9045944.7570693791</v>
      </c>
      <c r="AH600" s="3">
        <f t="shared" si="157"/>
        <v>1.4927908202757745E-2</v>
      </c>
      <c r="AI600" s="3">
        <f t="shared" si="158"/>
        <v>-1.0870741167988624E-3</v>
      </c>
    </row>
    <row r="601" spans="19:35" x14ac:dyDescent="0.3">
      <c r="S601" s="6">
        <v>584</v>
      </c>
      <c r="T601" s="4">
        <f t="shared" si="144"/>
        <v>292</v>
      </c>
      <c r="U601" s="3">
        <f t="shared" si="145"/>
        <v>-9055123.209115101</v>
      </c>
      <c r="V601" s="3">
        <f t="shared" si="146"/>
        <v>658164.73993587319</v>
      </c>
      <c r="W601" s="3">
        <f t="shared" si="147"/>
        <v>-29076.263284636661</v>
      </c>
      <c r="X601" s="3">
        <f t="shared" si="148"/>
        <v>2383.7929152723368</v>
      </c>
      <c r="Y601" s="3">
        <f t="shared" si="149"/>
        <v>9060582.901730163</v>
      </c>
      <c r="Z601" s="3">
        <f t="shared" si="150"/>
        <v>-649472.68503718451</v>
      </c>
      <c r="AA601" s="3">
        <f t="shared" si="151"/>
        <v>9083830.540456729</v>
      </c>
      <c r="AB601" s="3">
        <f t="shared" si="152"/>
        <v>9020582.901730163</v>
      </c>
      <c r="AC601" s="3">
        <f t="shared" si="153"/>
        <v>-646972.68503718451</v>
      </c>
      <c r="AD601" s="3">
        <f t="shared" si="154"/>
        <v>9043754.1730285212</v>
      </c>
      <c r="AE601" s="3">
        <f t="shared" si="155"/>
        <v>9035582.901730163</v>
      </c>
      <c r="AF601" s="3">
        <f t="shared" si="159"/>
        <v>-671972.68503718451</v>
      </c>
      <c r="AG601" s="3">
        <f t="shared" si="156"/>
        <v>9060535.6168095581</v>
      </c>
      <c r="AH601" s="3">
        <f t="shared" si="157"/>
        <v>1.4879891942661466E-2</v>
      </c>
      <c r="AI601" s="3">
        <f t="shared" si="158"/>
        <v>-1.0837965881482436E-3</v>
      </c>
    </row>
    <row r="602" spans="19:35" x14ac:dyDescent="0.3">
      <c r="S602" s="6">
        <v>585</v>
      </c>
      <c r="T602" s="4">
        <f t="shared" si="144"/>
        <v>292.5</v>
      </c>
      <c r="U602" s="3">
        <f t="shared" si="145"/>
        <v>-9069661.337037446</v>
      </c>
      <c r="V602" s="3">
        <f t="shared" si="146"/>
        <v>659356.63612256024</v>
      </c>
      <c r="W602" s="3">
        <f t="shared" si="147"/>
        <v>-29071.910916243432</v>
      </c>
      <c r="X602" s="3">
        <f t="shared" si="148"/>
        <v>2383.4759047703033</v>
      </c>
      <c r="Y602" s="3">
        <f t="shared" si="149"/>
        <v>9075123.209115101</v>
      </c>
      <c r="Z602" s="3">
        <f t="shared" si="150"/>
        <v>-650664.73993587319</v>
      </c>
      <c r="AA602" s="3">
        <f t="shared" si="151"/>
        <v>9098418.8661775384</v>
      </c>
      <c r="AB602" s="3">
        <f t="shared" si="152"/>
        <v>9035123.209115101</v>
      </c>
      <c r="AC602" s="3">
        <f t="shared" si="153"/>
        <v>-648164.73993587319</v>
      </c>
      <c r="AD602" s="3">
        <f t="shared" si="154"/>
        <v>9058342.5047845542</v>
      </c>
      <c r="AE602" s="3">
        <f t="shared" si="155"/>
        <v>9050123.209115101</v>
      </c>
      <c r="AF602" s="3">
        <f t="shared" si="159"/>
        <v>-673164.73993587319</v>
      </c>
      <c r="AG602" s="3">
        <f t="shared" si="156"/>
        <v>9075124.2893558629</v>
      </c>
      <c r="AH602" s="3">
        <f t="shared" si="157"/>
        <v>1.4832114118824968E-2</v>
      </c>
      <c r="AI602" s="3">
        <f t="shared" si="158"/>
        <v>-1.0805343150313649E-3</v>
      </c>
    </row>
    <row r="603" spans="19:35" x14ac:dyDescent="0.3">
      <c r="S603" s="6">
        <v>586</v>
      </c>
      <c r="T603" s="4">
        <f t="shared" si="144"/>
        <v>293</v>
      </c>
      <c r="U603" s="3">
        <f t="shared" si="145"/>
        <v>-9084197.2887875382</v>
      </c>
      <c r="V603" s="3">
        <f t="shared" si="146"/>
        <v>660548.37380481174</v>
      </c>
      <c r="W603" s="3">
        <f t="shared" si="147"/>
        <v>-29067.565106806618</v>
      </c>
      <c r="X603" s="3">
        <f t="shared" si="148"/>
        <v>2383.1593082159989</v>
      </c>
      <c r="Y603" s="3">
        <f t="shared" si="149"/>
        <v>9089661.337037446</v>
      </c>
      <c r="Z603" s="3">
        <f t="shared" si="150"/>
        <v>-651856.63612256024</v>
      </c>
      <c r="AA603" s="3">
        <f t="shared" si="151"/>
        <v>9113005.009111451</v>
      </c>
      <c r="AB603" s="3">
        <f t="shared" si="152"/>
        <v>9049661.337037446</v>
      </c>
      <c r="AC603" s="3">
        <f t="shared" si="153"/>
        <v>-649356.63612256024</v>
      </c>
      <c r="AD603" s="3">
        <f t="shared" si="154"/>
        <v>9072928.6537449844</v>
      </c>
      <c r="AE603" s="3">
        <f t="shared" si="155"/>
        <v>9064661.337037446</v>
      </c>
      <c r="AF603" s="3">
        <f t="shared" si="159"/>
        <v>-674356.63612256024</v>
      </c>
      <c r="AG603" s="3">
        <f t="shared" si="156"/>
        <v>9089710.7780096084</v>
      </c>
      <c r="AH603" s="3">
        <f t="shared" si="157"/>
        <v>1.4784573134458856E-2</v>
      </c>
      <c r="AI603" s="3">
        <f t="shared" si="158"/>
        <v>-1.0772872018292353E-3</v>
      </c>
    </row>
    <row r="604" spans="19:35" x14ac:dyDescent="0.3">
      <c r="S604" s="6">
        <v>587</v>
      </c>
      <c r="T604" s="4">
        <f t="shared" si="144"/>
        <v>293.5</v>
      </c>
      <c r="U604" s="3">
        <f t="shared" si="145"/>
        <v>-9098731.0676447973</v>
      </c>
      <c r="V604" s="3">
        <f t="shared" si="146"/>
        <v>661739.95318959793</v>
      </c>
      <c r="W604" s="3">
        <f t="shared" si="147"/>
        <v>-29063.225834591656</v>
      </c>
      <c r="X604" s="3">
        <f t="shared" si="148"/>
        <v>2382.843124422262</v>
      </c>
      <c r="Y604" s="3">
        <f t="shared" si="149"/>
        <v>9104197.2887875382</v>
      </c>
      <c r="Z604" s="3">
        <f t="shared" si="150"/>
        <v>-653048.37380481174</v>
      </c>
      <c r="AA604" s="3">
        <f t="shared" si="151"/>
        <v>9127588.9725433774</v>
      </c>
      <c r="AB604" s="3">
        <f t="shared" si="152"/>
        <v>9064197.2887875382</v>
      </c>
      <c r="AC604" s="3">
        <f t="shared" si="153"/>
        <v>-650548.37380481174</v>
      </c>
      <c r="AD604" s="3">
        <f t="shared" si="154"/>
        <v>9087512.6231947225</v>
      </c>
      <c r="AE604" s="3">
        <f t="shared" si="155"/>
        <v>9079197.2887875382</v>
      </c>
      <c r="AF604" s="3">
        <f t="shared" si="159"/>
        <v>-675548.37380481174</v>
      </c>
      <c r="AG604" s="3">
        <f t="shared" si="156"/>
        <v>9104295.0860611554</v>
      </c>
      <c r="AH604" s="3">
        <f t="shared" si="157"/>
        <v>1.4737267406215272E-2</v>
      </c>
      <c r="AI604" s="3">
        <f t="shared" si="158"/>
        <v>-1.0740551536743961E-3</v>
      </c>
    </row>
    <row r="605" spans="19:35" x14ac:dyDescent="0.3">
      <c r="S605" s="6">
        <v>588</v>
      </c>
      <c r="T605" s="4">
        <f t="shared" si="144"/>
        <v>294</v>
      </c>
      <c r="U605" s="3">
        <f t="shared" si="145"/>
        <v>-9113262.6768777762</v>
      </c>
      <c r="V605" s="3">
        <f t="shared" si="146"/>
        <v>662931.37448329525</v>
      </c>
      <c r="W605" s="3">
        <f t="shared" si="147"/>
        <v>-29058.89307797423</v>
      </c>
      <c r="X605" s="3">
        <f t="shared" si="148"/>
        <v>2382.5273522070815</v>
      </c>
      <c r="Y605" s="3">
        <f t="shared" si="149"/>
        <v>9118731.0676447973</v>
      </c>
      <c r="Z605" s="3">
        <f t="shared" si="150"/>
        <v>-654239.95318959793</v>
      </c>
      <c r="AA605" s="3">
        <f t="shared" si="151"/>
        <v>9142170.7597473785</v>
      </c>
      <c r="AB605" s="3">
        <f t="shared" si="152"/>
        <v>9078731.0676447973</v>
      </c>
      <c r="AC605" s="3">
        <f t="shared" si="153"/>
        <v>-651739.95318959793</v>
      </c>
      <c r="AD605" s="3">
        <f t="shared" si="154"/>
        <v>9102094.4164078198</v>
      </c>
      <c r="AE605" s="3">
        <f t="shared" si="155"/>
        <v>9093731.0676447973</v>
      </c>
      <c r="AF605" s="3">
        <f t="shared" si="159"/>
        <v>-676739.95318959793</v>
      </c>
      <c r="AG605" s="3">
        <f t="shared" si="156"/>
        <v>9118877.2167899739</v>
      </c>
      <c r="AH605" s="3">
        <f t="shared" si="157"/>
        <v>1.4690195364052226E-2</v>
      </c>
      <c r="AI605" s="3">
        <f t="shared" si="158"/>
        <v>-1.0708380764438699E-3</v>
      </c>
    </row>
    <row r="606" spans="19:35" x14ac:dyDescent="0.3">
      <c r="S606" s="6">
        <v>589</v>
      </c>
      <c r="T606" s="4">
        <f t="shared" si="144"/>
        <v>294.5</v>
      </c>
      <c r="U606" s="3">
        <f t="shared" si="145"/>
        <v>-9127792.1197442133</v>
      </c>
      <c r="V606" s="3">
        <f t="shared" si="146"/>
        <v>664122.63789168932</v>
      </c>
      <c r="W606" s="3">
        <f t="shared" si="147"/>
        <v>-29054.566815439517</v>
      </c>
      <c r="X606" s="3">
        <f t="shared" si="148"/>
        <v>2382.2119903935686</v>
      </c>
      <c r="Y606" s="3">
        <f t="shared" si="149"/>
        <v>9133262.6768777762</v>
      </c>
      <c r="Z606" s="3">
        <f t="shared" si="150"/>
        <v>-655431.37448329525</v>
      </c>
      <c r="AA606" s="3">
        <f t="shared" si="151"/>
        <v>9156750.3739867043</v>
      </c>
      <c r="AB606" s="3">
        <f t="shared" si="152"/>
        <v>9093262.6768777762</v>
      </c>
      <c r="AC606" s="3">
        <f t="shared" si="153"/>
        <v>-652931.37448329525</v>
      </c>
      <c r="AD606" s="3">
        <f t="shared" si="154"/>
        <v>9116674.036647521</v>
      </c>
      <c r="AE606" s="3">
        <f t="shared" si="155"/>
        <v>9108262.6768777762</v>
      </c>
      <c r="AF606" s="3">
        <f t="shared" si="159"/>
        <v>-677931.37448329525</v>
      </c>
      <c r="AG606" s="3">
        <f t="shared" si="156"/>
        <v>9133457.1734646857</v>
      </c>
      <c r="AH606" s="3">
        <f t="shared" si="157"/>
        <v>1.4643355451098336E-2</v>
      </c>
      <c r="AI606" s="3">
        <f t="shared" si="158"/>
        <v>-1.0676358767521021E-3</v>
      </c>
    </row>
    <row r="607" spans="19:35" x14ac:dyDescent="0.3">
      <c r="S607" s="6">
        <v>590</v>
      </c>
      <c r="T607" s="4">
        <f t="shared" si="144"/>
        <v>295</v>
      </c>
      <c r="U607" s="3">
        <f t="shared" si="145"/>
        <v>-9142319.3994910941</v>
      </c>
      <c r="V607" s="3">
        <f t="shared" si="146"/>
        <v>665313.74361997703</v>
      </c>
      <c r="W607" s="3">
        <f t="shared" si="147"/>
        <v>-29050.247025581444</v>
      </c>
      <c r="X607" s="3">
        <f t="shared" si="148"/>
        <v>2381.8970378099266</v>
      </c>
      <c r="Y607" s="3">
        <f t="shared" si="149"/>
        <v>9147792.1197442133</v>
      </c>
      <c r="Z607" s="3">
        <f t="shared" si="150"/>
        <v>-656622.63789168932</v>
      </c>
      <c r="AA607" s="3">
        <f t="shared" si="151"/>
        <v>9171327.8185138591</v>
      </c>
      <c r="AB607" s="3">
        <f t="shared" si="152"/>
        <v>9107792.1197442133</v>
      </c>
      <c r="AC607" s="3">
        <f t="shared" si="153"/>
        <v>-654122.63789168932</v>
      </c>
      <c r="AD607" s="3">
        <f t="shared" si="154"/>
        <v>9131251.4871663228</v>
      </c>
      <c r="AE607" s="3">
        <f t="shared" si="155"/>
        <v>9122792.1197442133</v>
      </c>
      <c r="AF607" s="3">
        <f t="shared" si="159"/>
        <v>-679122.63789168932</v>
      </c>
      <c r="AG607" s="3">
        <f t="shared" si="156"/>
        <v>9148034.9593431316</v>
      </c>
      <c r="AH607" s="3">
        <f t="shared" si="157"/>
        <v>1.4596746123520292E-2</v>
      </c>
      <c r="AI607" s="3">
        <f t="shared" si="158"/>
        <v>-1.0644484619440609E-3</v>
      </c>
    </row>
    <row r="608" spans="19:35" x14ac:dyDescent="0.3">
      <c r="S608" s="6">
        <v>591</v>
      </c>
      <c r="T608" s="4">
        <f t="shared" si="144"/>
        <v>295.5</v>
      </c>
      <c r="U608" s="3">
        <f t="shared" si="145"/>
        <v>-9156844.5193546992</v>
      </c>
      <c r="V608" s="3">
        <f t="shared" si="146"/>
        <v>666504.69187276985</v>
      </c>
      <c r="W608" s="3">
        <f t="shared" si="147"/>
        <v>-29045.933687101944</v>
      </c>
      <c r="X608" s="3">
        <f t="shared" si="148"/>
        <v>2381.582493289422</v>
      </c>
      <c r="Y608" s="3">
        <f t="shared" si="149"/>
        <v>9162319.3994910941</v>
      </c>
      <c r="Z608" s="3">
        <f t="shared" si="150"/>
        <v>-657813.74361997703</v>
      </c>
      <c r="AA608" s="3">
        <f t="shared" si="151"/>
        <v>9185903.0965706445</v>
      </c>
      <c r="AB608" s="3">
        <f t="shared" si="152"/>
        <v>9122319.3994910941</v>
      </c>
      <c r="AC608" s="3">
        <f t="shared" si="153"/>
        <v>-655313.74361997703</v>
      </c>
      <c r="AD608" s="3">
        <f t="shared" si="154"/>
        <v>9145826.7712060232</v>
      </c>
      <c r="AE608" s="3">
        <f t="shared" si="155"/>
        <v>9137319.3994910941</v>
      </c>
      <c r="AF608" s="3">
        <f t="shared" si="159"/>
        <v>-680313.74361997703</v>
      </c>
      <c r="AG608" s="3">
        <f t="shared" si="156"/>
        <v>9162610.5776724201</v>
      </c>
      <c r="AH608" s="3">
        <f t="shared" si="157"/>
        <v>1.4550365850391638E-2</v>
      </c>
      <c r="AI608" s="3">
        <f t="shared" si="158"/>
        <v>-1.0612757400883931E-3</v>
      </c>
    </row>
    <row r="609" spans="19:35" x14ac:dyDescent="0.3">
      <c r="S609" s="6">
        <v>592</v>
      </c>
      <c r="T609" s="4">
        <f t="shared" si="144"/>
        <v>296</v>
      </c>
      <c r="U609" s="3">
        <f t="shared" si="145"/>
        <v>-9171367.4825606588</v>
      </c>
      <c r="V609" s="3">
        <f t="shared" si="146"/>
        <v>667695.48285409564</v>
      </c>
      <c r="W609" s="3">
        <f t="shared" si="147"/>
        <v>-29041.626778810227</v>
      </c>
      <c r="X609" s="3">
        <f t="shared" si="148"/>
        <v>2381.268355670356</v>
      </c>
      <c r="Y609" s="3">
        <f t="shared" si="149"/>
        <v>9176844.5193546992</v>
      </c>
      <c r="Z609" s="3">
        <f t="shared" si="150"/>
        <v>-659004.69187276985</v>
      </c>
      <c r="AA609" s="3">
        <f t="shared" si="151"/>
        <v>9200476.2113882285</v>
      </c>
      <c r="AB609" s="3">
        <f t="shared" si="152"/>
        <v>9136844.5193546992</v>
      </c>
      <c r="AC609" s="3">
        <f t="shared" si="153"/>
        <v>-656504.69187276985</v>
      </c>
      <c r="AD609" s="3">
        <f t="shared" si="154"/>
        <v>9160399.8919977807</v>
      </c>
      <c r="AE609" s="3">
        <f t="shared" si="155"/>
        <v>9151844.5193546992</v>
      </c>
      <c r="AF609" s="3">
        <f t="shared" si="159"/>
        <v>-681504.69187276985</v>
      </c>
      <c r="AG609" s="3">
        <f t="shared" si="156"/>
        <v>9177184.0316889826</v>
      </c>
      <c r="AH609" s="3">
        <f t="shared" si="157"/>
        <v>1.4504213113562448E-2</v>
      </c>
      <c r="AI609" s="3">
        <f t="shared" si="158"/>
        <v>-1.0581176199706095E-3</v>
      </c>
    </row>
    <row r="610" spans="19:35" x14ac:dyDescent="0.3">
      <c r="S610" s="6">
        <v>593</v>
      </c>
      <c r="T610" s="4">
        <f t="shared" si="144"/>
        <v>296.5</v>
      </c>
      <c r="U610" s="3">
        <f t="shared" si="145"/>
        <v>-9185888.2923240103</v>
      </c>
      <c r="V610" s="3">
        <f t="shared" si="146"/>
        <v>668886.11676740146</v>
      </c>
      <c r="W610" s="3">
        <f t="shared" si="147"/>
        <v>-29037.326279622055</v>
      </c>
      <c r="X610" s="3">
        <f t="shared" si="148"/>
        <v>2380.9546237960349</v>
      </c>
      <c r="Y610" s="3">
        <f t="shared" si="149"/>
        <v>9191367.4825606588</v>
      </c>
      <c r="Z610" s="3">
        <f t="shared" si="150"/>
        <v>-660195.48285409564</v>
      </c>
      <c r="AA610" s="3">
        <f t="shared" si="151"/>
        <v>9215047.1661871821</v>
      </c>
      <c r="AB610" s="3">
        <f t="shared" si="152"/>
        <v>9151367.4825606588</v>
      </c>
      <c r="AC610" s="3">
        <f t="shared" si="153"/>
        <v>-657695.48285409564</v>
      </c>
      <c r="AD610" s="3">
        <f t="shared" si="154"/>
        <v>9174970.8527621645</v>
      </c>
      <c r="AE610" s="3">
        <f t="shared" si="155"/>
        <v>9166367.4825606588</v>
      </c>
      <c r="AF610" s="3">
        <f t="shared" si="159"/>
        <v>-682695.48285409564</v>
      </c>
      <c r="AG610" s="3">
        <f t="shared" si="156"/>
        <v>9191755.3246186245</v>
      </c>
      <c r="AH610" s="3">
        <f t="shared" si="157"/>
        <v>1.4458286407531034E-2</v>
      </c>
      <c r="AI610" s="3">
        <f t="shared" si="158"/>
        <v>-1.0549740110863807E-3</v>
      </c>
    </row>
    <row r="611" spans="19:35" x14ac:dyDescent="0.3">
      <c r="S611" s="6">
        <v>594</v>
      </c>
      <c r="T611" s="4">
        <f t="shared" si="144"/>
        <v>297</v>
      </c>
      <c r="U611" s="3">
        <f t="shared" si="145"/>
        <v>-9200406.9518492501</v>
      </c>
      <c r="V611" s="3">
        <f t="shared" si="146"/>
        <v>670076.59381555603</v>
      </c>
      <c r="W611" s="3">
        <f t="shared" si="147"/>
        <v>-29033.032168559017</v>
      </c>
      <c r="X611" s="3">
        <f t="shared" si="148"/>
        <v>2380.6412965147424</v>
      </c>
      <c r="Y611" s="3">
        <f t="shared" si="149"/>
        <v>9205888.2923240103</v>
      </c>
      <c r="Z611" s="3">
        <f t="shared" si="150"/>
        <v>-661386.11676740146</v>
      </c>
      <c r="AA611" s="3">
        <f t="shared" si="151"/>
        <v>9229615.9641775414</v>
      </c>
      <c r="AB611" s="3">
        <f t="shared" si="152"/>
        <v>9165888.2923240103</v>
      </c>
      <c r="AC611" s="3">
        <f t="shared" si="153"/>
        <v>-658886.11676740146</v>
      </c>
      <c r="AD611" s="3">
        <f t="shared" si="154"/>
        <v>9189539.6567092072</v>
      </c>
      <c r="AE611" s="3">
        <f t="shared" si="155"/>
        <v>9180888.2923240103</v>
      </c>
      <c r="AF611" s="3">
        <f t="shared" si="159"/>
        <v>-683886.11676740146</v>
      </c>
      <c r="AG611" s="3">
        <f t="shared" si="156"/>
        <v>9206324.4596765805</v>
      </c>
      <c r="AH611" s="3">
        <f t="shared" si="157"/>
        <v>1.4412584239317657E-2</v>
      </c>
      <c r="AI611" s="3">
        <f t="shared" si="158"/>
        <v>-1.0518448236349414E-3</v>
      </c>
    </row>
    <row r="612" spans="19:35" x14ac:dyDescent="0.3">
      <c r="S612" s="6">
        <v>595</v>
      </c>
      <c r="T612" s="4">
        <f t="shared" si="144"/>
        <v>297.5</v>
      </c>
      <c r="U612" s="3">
        <f t="shared" si="145"/>
        <v>-9214923.4643303845</v>
      </c>
      <c r="V612" s="3">
        <f t="shared" si="146"/>
        <v>671266.91420085216</v>
      </c>
      <c r="W612" s="3">
        <f t="shared" si="147"/>
        <v>-29028.74442474782</v>
      </c>
      <c r="X612" s="3">
        <f t="shared" si="148"/>
        <v>2380.3283726797108</v>
      </c>
      <c r="Y612" s="3">
        <f t="shared" si="149"/>
        <v>9220406.9518492501</v>
      </c>
      <c r="Z612" s="3">
        <f t="shared" si="150"/>
        <v>-662576.59381555603</v>
      </c>
      <c r="AA612" s="3">
        <f t="shared" si="151"/>
        <v>9244182.6085588653</v>
      </c>
      <c r="AB612" s="3">
        <f t="shared" si="152"/>
        <v>9180406.9518492501</v>
      </c>
      <c r="AC612" s="3">
        <f t="shared" si="153"/>
        <v>-660076.59381555603</v>
      </c>
      <c r="AD612" s="3">
        <f t="shared" si="154"/>
        <v>9204106.3070384618</v>
      </c>
      <c r="AE612" s="3">
        <f t="shared" si="155"/>
        <v>9195406.9518492501</v>
      </c>
      <c r="AF612" s="3">
        <f t="shared" si="159"/>
        <v>-685076.59381555603</v>
      </c>
      <c r="AG612" s="3">
        <f t="shared" si="156"/>
        <v>9220891.4400675725</v>
      </c>
      <c r="AH612" s="3">
        <f t="shared" si="157"/>
        <v>1.4367105128338418E-2</v>
      </c>
      <c r="AI612" s="3">
        <f t="shared" si="158"/>
        <v>-1.048729968512472E-3</v>
      </c>
    </row>
    <row r="613" spans="19:35" x14ac:dyDescent="0.3">
      <c r="S613" s="6">
        <v>596</v>
      </c>
      <c r="T613" s="4">
        <f t="shared" si="144"/>
        <v>298</v>
      </c>
      <c r="U613" s="3">
        <f t="shared" si="145"/>
        <v>-9229437.8329509832</v>
      </c>
      <c r="V613" s="3">
        <f t="shared" si="146"/>
        <v>672457.07812500955</v>
      </c>
      <c r="W613" s="3">
        <f t="shared" si="147"/>
        <v>-29024.463027419573</v>
      </c>
      <c r="X613" s="3">
        <f t="shared" si="148"/>
        <v>2380.015851149094</v>
      </c>
      <c r="Y613" s="3">
        <f t="shared" si="149"/>
        <v>9234923.4643303845</v>
      </c>
      <c r="Z613" s="3">
        <f t="shared" si="150"/>
        <v>-663766.91420085216</v>
      </c>
      <c r="AA613" s="3">
        <f t="shared" si="151"/>
        <v>9258747.1025202777</v>
      </c>
      <c r="AB613" s="3">
        <f t="shared" si="152"/>
        <v>9194923.4643303845</v>
      </c>
      <c r="AC613" s="3">
        <f t="shared" si="153"/>
        <v>-661266.91420085216</v>
      </c>
      <c r="AD613" s="3">
        <f t="shared" si="154"/>
        <v>9218670.8069390468</v>
      </c>
      <c r="AE613" s="3">
        <f t="shared" si="155"/>
        <v>9209923.4643303845</v>
      </c>
      <c r="AF613" s="3">
        <f t="shared" si="159"/>
        <v>-686266.91420085216</v>
      </c>
      <c r="AG613" s="3">
        <f t="shared" si="156"/>
        <v>9235456.2689858563</v>
      </c>
      <c r="AH613" s="3">
        <f t="shared" si="157"/>
        <v>1.4321847606282034E-2</v>
      </c>
      <c r="AI613" s="3">
        <f t="shared" si="158"/>
        <v>-1.0456293573056542E-3</v>
      </c>
    </row>
    <row r="614" spans="19:35" x14ac:dyDescent="0.3">
      <c r="S614" s="6">
        <v>597</v>
      </c>
      <c r="T614" s="4">
        <f t="shared" si="144"/>
        <v>298.5</v>
      </c>
      <c r="U614" s="3">
        <f t="shared" si="145"/>
        <v>-9243950.0608842317</v>
      </c>
      <c r="V614" s="3">
        <f t="shared" si="146"/>
        <v>673647.08578917675</v>
      </c>
      <c r="W614" s="3">
        <f t="shared" si="147"/>
        <v>-29020.187955909099</v>
      </c>
      <c r="X614" s="3">
        <f t="shared" si="148"/>
        <v>2379.7037307859382</v>
      </c>
      <c r="Y614" s="3">
        <f t="shared" si="149"/>
        <v>9249437.8329509832</v>
      </c>
      <c r="Z614" s="3">
        <f t="shared" si="150"/>
        <v>-664957.07812500955</v>
      </c>
      <c r="AA614" s="3">
        <f t="shared" si="151"/>
        <v>9273309.4492405206</v>
      </c>
      <c r="AB614" s="3">
        <f t="shared" si="152"/>
        <v>9209437.8329509832</v>
      </c>
      <c r="AC614" s="3">
        <f t="shared" si="153"/>
        <v>-662457.07812500955</v>
      </c>
      <c r="AD614" s="3">
        <f t="shared" si="154"/>
        <v>9233233.1595897023</v>
      </c>
      <c r="AE614" s="3">
        <f t="shared" si="155"/>
        <v>9224437.8329509832</v>
      </c>
      <c r="AF614" s="3">
        <f t="shared" si="159"/>
        <v>-687457.07812500955</v>
      </c>
      <c r="AG614" s="3">
        <f t="shared" si="156"/>
        <v>9250018.9496152718</v>
      </c>
      <c r="AH614" s="3">
        <f t="shared" si="157"/>
        <v>1.4276810216987058E-2</v>
      </c>
      <c r="AI614" s="3">
        <f t="shared" si="158"/>
        <v>-1.0425429022852262E-3</v>
      </c>
    </row>
    <row r="615" spans="19:35" x14ac:dyDescent="0.3">
      <c r="S615" s="6">
        <v>598</v>
      </c>
      <c r="T615" s="4">
        <f t="shared" si="144"/>
        <v>299</v>
      </c>
      <c r="U615" s="3">
        <f t="shared" si="145"/>
        <v>-9258460.1512929834</v>
      </c>
      <c r="V615" s="3">
        <f t="shared" si="146"/>
        <v>674836.937393934</v>
      </c>
      <c r="W615" s="3">
        <f t="shared" si="147"/>
        <v>-29015.919189654222</v>
      </c>
      <c r="X615" s="3">
        <f t="shared" si="148"/>
        <v>2379.3920104581548</v>
      </c>
      <c r="Y615" s="3">
        <f t="shared" si="149"/>
        <v>9263950.0608842317</v>
      </c>
      <c r="Z615" s="3">
        <f t="shared" si="150"/>
        <v>-666147.08578917675</v>
      </c>
      <c r="AA615" s="3">
        <f t="shared" si="151"/>
        <v>9287869.6518880129</v>
      </c>
      <c r="AB615" s="3">
        <f t="shared" si="152"/>
        <v>9223950.0608842317</v>
      </c>
      <c r="AC615" s="3">
        <f t="shared" si="153"/>
        <v>-663647.08578917675</v>
      </c>
      <c r="AD615" s="3">
        <f t="shared" si="154"/>
        <v>9247793.3681588434</v>
      </c>
      <c r="AE615" s="3">
        <f t="shared" si="155"/>
        <v>9238950.0608842317</v>
      </c>
      <c r="AF615" s="3">
        <f t="shared" si="159"/>
        <v>-688647.08578917675</v>
      </c>
      <c r="AG615" s="3">
        <f t="shared" si="156"/>
        <v>9264579.4851292986</v>
      </c>
      <c r="AH615" s="3">
        <f t="shared" si="157"/>
        <v>1.4231991516321024E-2</v>
      </c>
      <c r="AI615" s="3">
        <f t="shared" si="158"/>
        <v>-1.0394705163996414E-3</v>
      </c>
    </row>
    <row r="616" spans="19:35" x14ac:dyDescent="0.3">
      <c r="S616" s="6">
        <v>599</v>
      </c>
      <c r="T616" s="4">
        <f t="shared" si="144"/>
        <v>299.5</v>
      </c>
      <c r="U616" s="3">
        <f t="shared" si="145"/>
        <v>-9272968.1073298119</v>
      </c>
      <c r="V616" s="3">
        <f t="shared" si="146"/>
        <v>676026.63313929539</v>
      </c>
      <c r="W616" s="3">
        <f t="shared" si="147"/>
        <v>-29011.656708195082</v>
      </c>
      <c r="X616" s="3">
        <f t="shared" si="148"/>
        <v>2379.0806890384929</v>
      </c>
      <c r="Y616" s="3">
        <f t="shared" si="149"/>
        <v>9278460.1512929834</v>
      </c>
      <c r="Z616" s="3">
        <f t="shared" si="150"/>
        <v>-667336.937393934</v>
      </c>
      <c r="AA616" s="3">
        <f t="shared" si="151"/>
        <v>9302427.7136208974</v>
      </c>
      <c r="AB616" s="3">
        <f t="shared" si="152"/>
        <v>9238460.1512929834</v>
      </c>
      <c r="AC616" s="3">
        <f t="shared" si="153"/>
        <v>-664836.937393934</v>
      </c>
      <c r="AD616" s="3">
        <f t="shared" si="154"/>
        <v>9262351.4358046092</v>
      </c>
      <c r="AE616" s="3">
        <f t="shared" si="155"/>
        <v>9253460.1512929834</v>
      </c>
      <c r="AF616" s="3">
        <f t="shared" si="159"/>
        <v>-689836.937393934</v>
      </c>
      <c r="AG616" s="3">
        <f t="shared" si="156"/>
        <v>9279137.8786911126</v>
      </c>
      <c r="AH616" s="3">
        <f t="shared" si="157"/>
        <v>1.4187390072060643E-2</v>
      </c>
      <c r="AI616" s="3">
        <f t="shared" si="158"/>
        <v>-1.0364121132687702E-3</v>
      </c>
    </row>
    <row r="617" spans="19:35" x14ac:dyDescent="0.3">
      <c r="S617" s="6">
        <v>600</v>
      </c>
      <c r="T617" s="4">
        <f t="shared" si="144"/>
        <v>300</v>
      </c>
      <c r="U617" s="3">
        <f t="shared" si="145"/>
        <v>-9287473.9321370628</v>
      </c>
      <c r="V617" s="3">
        <f t="shared" si="146"/>
        <v>677216.17322471156</v>
      </c>
      <c r="W617" s="3">
        <f t="shared" si="147"/>
        <v>-29007.400491173463</v>
      </c>
      <c r="X617" s="3">
        <f t="shared" si="148"/>
        <v>2378.7697654045123</v>
      </c>
      <c r="Y617" s="3">
        <f t="shared" si="149"/>
        <v>9292968.1073298119</v>
      </c>
      <c r="Z617" s="3">
        <f t="shared" si="150"/>
        <v>-668526.63313929539</v>
      </c>
      <c r="AA617" s="3">
        <f t="shared" si="151"/>
        <v>9316983.637587091</v>
      </c>
      <c r="AB617" s="3">
        <f t="shared" si="152"/>
        <v>9252968.1073298119</v>
      </c>
      <c r="AC617" s="3">
        <f t="shared" si="153"/>
        <v>-666026.63313929539</v>
      </c>
      <c r="AD617" s="3">
        <f t="shared" si="154"/>
        <v>9276907.3656749148</v>
      </c>
      <c r="AE617" s="3">
        <f t="shared" si="155"/>
        <v>9267968.1073298119</v>
      </c>
      <c r="AF617" s="3">
        <f t="shared" si="159"/>
        <v>-691026.63313929539</v>
      </c>
      <c r="AG617" s="3">
        <f t="shared" si="156"/>
        <v>9293694.1334536262</v>
      </c>
      <c r="AH617" s="3">
        <f t="shared" si="157"/>
        <v>1.4143004463773911E-2</v>
      </c>
      <c r="AI617" s="3">
        <f t="shared" si="158"/>
        <v>-1.0333676071777075E-3</v>
      </c>
    </row>
    <row r="618" spans="19:35" x14ac:dyDescent="0.3">
      <c r="S618" s="6">
        <v>601</v>
      </c>
      <c r="T618" s="4">
        <f t="shared" si="144"/>
        <v>300.5</v>
      </c>
      <c r="U618" s="3">
        <f t="shared" si="145"/>
        <v>-9301977.6288468987</v>
      </c>
      <c r="V618" s="3">
        <f t="shared" si="146"/>
        <v>678405.55784907192</v>
      </c>
      <c r="W618" s="3">
        <f t="shared" si="147"/>
        <v>-29003.150518332099</v>
      </c>
      <c r="X618" s="3">
        <f t="shared" si="148"/>
        <v>2378.4592384385555</v>
      </c>
      <c r="Y618" s="3">
        <f t="shared" si="149"/>
        <v>9307473.9321370628</v>
      </c>
      <c r="Z618" s="3">
        <f t="shared" si="150"/>
        <v>-669716.17322471156</v>
      </c>
      <c r="AA618" s="3">
        <f t="shared" si="151"/>
        <v>9331537.4269243386</v>
      </c>
      <c r="AB618" s="3">
        <f t="shared" si="152"/>
        <v>9267473.9321370628</v>
      </c>
      <c r="AC618" s="3">
        <f t="shared" si="153"/>
        <v>-667216.17322471156</v>
      </c>
      <c r="AD618" s="3">
        <f t="shared" si="154"/>
        <v>9291461.1609075032</v>
      </c>
      <c r="AE618" s="3">
        <f t="shared" si="155"/>
        <v>9282473.9321370628</v>
      </c>
      <c r="AF618" s="3">
        <f t="shared" si="159"/>
        <v>-692216.17322471156</v>
      </c>
      <c r="AG618" s="3">
        <f t="shared" si="156"/>
        <v>9308248.252559552</v>
      </c>
      <c r="AH618" s="3">
        <f t="shared" si="157"/>
        <v>1.4098833282702915E-2</v>
      </c>
      <c r="AI618" s="3">
        <f t="shared" si="158"/>
        <v>-1.0303369130706007E-3</v>
      </c>
    </row>
    <row r="619" spans="19:35" x14ac:dyDescent="0.3">
      <c r="S619" s="6">
        <v>602</v>
      </c>
      <c r="T619" s="4">
        <f t="shared" si="144"/>
        <v>301</v>
      </c>
      <c r="U619" s="3">
        <f t="shared" si="145"/>
        <v>-9316479.2005813569</v>
      </c>
      <c r="V619" s="3">
        <f t="shared" si="146"/>
        <v>679594.78721070697</v>
      </c>
      <c r="W619" s="3">
        <f t="shared" si="147"/>
        <v>-28998.906769514004</v>
      </c>
      <c r="X619" s="3">
        <f t="shared" si="148"/>
        <v>2378.1491070277211</v>
      </c>
      <c r="Y619" s="3">
        <f t="shared" si="149"/>
        <v>9321977.6288468987</v>
      </c>
      <c r="Z619" s="3">
        <f t="shared" si="150"/>
        <v>-670905.55784907192</v>
      </c>
      <c r="AA619" s="3">
        <f t="shared" si="151"/>
        <v>9346089.084760258</v>
      </c>
      <c r="AB619" s="3">
        <f t="shared" si="152"/>
        <v>9281977.6288468987</v>
      </c>
      <c r="AC619" s="3">
        <f t="shared" si="153"/>
        <v>-668405.55784907192</v>
      </c>
      <c r="AD619" s="3">
        <f t="shared" si="154"/>
        <v>9306012.8246299885</v>
      </c>
      <c r="AE619" s="3">
        <f t="shared" si="155"/>
        <v>9296977.6288468987</v>
      </c>
      <c r="AF619" s="3">
        <f t="shared" si="159"/>
        <v>-693405.55784907192</v>
      </c>
      <c r="AG619" s="3">
        <f t="shared" si="156"/>
        <v>9322800.23914144</v>
      </c>
      <c r="AH619" s="3">
        <f t="shared" si="157"/>
        <v>1.4054875131648867E-2</v>
      </c>
      <c r="AI619" s="3">
        <f t="shared" si="158"/>
        <v>-1.0273199465446032E-3</v>
      </c>
    </row>
    <row r="620" spans="19:35" x14ac:dyDescent="0.3">
      <c r="S620" s="6">
        <v>603</v>
      </c>
      <c r="T620" s="4">
        <f t="shared" si="144"/>
        <v>301.5</v>
      </c>
      <c r="U620" s="3">
        <f t="shared" si="145"/>
        <v>-9330978.6504523959</v>
      </c>
      <c r="V620" s="3">
        <f t="shared" si="146"/>
        <v>680783.86150739086</v>
      </c>
      <c r="W620" s="3">
        <f t="shared" si="147"/>
        <v>-28994.669224661811</v>
      </c>
      <c r="X620" s="3">
        <f t="shared" si="148"/>
        <v>2377.839370063838</v>
      </c>
      <c r="Y620" s="3">
        <f t="shared" si="149"/>
        <v>9336479.2005813569</v>
      </c>
      <c r="Z620" s="3">
        <f t="shared" si="150"/>
        <v>-672094.78721070697</v>
      </c>
      <c r="AA620" s="3">
        <f t="shared" si="151"/>
        <v>9360638.6142123938</v>
      </c>
      <c r="AB620" s="3">
        <f t="shared" si="152"/>
        <v>9296479.2005813569</v>
      </c>
      <c r="AC620" s="3">
        <f t="shared" si="153"/>
        <v>-669594.78721070697</v>
      </c>
      <c r="AD620" s="3">
        <f t="shared" si="154"/>
        <v>9320562.3599599153</v>
      </c>
      <c r="AE620" s="3">
        <f t="shared" si="155"/>
        <v>9311479.2005813569</v>
      </c>
      <c r="AF620" s="3">
        <f t="shared" si="159"/>
        <v>-694594.78721070697</v>
      </c>
      <c r="AG620" s="3">
        <f t="shared" si="156"/>
        <v>9337350.0963217337</v>
      </c>
      <c r="AH620" s="3">
        <f t="shared" si="157"/>
        <v>1.401112862485736E-2</v>
      </c>
      <c r="AI620" s="3">
        <f t="shared" si="158"/>
        <v>-1.024316623843816E-3</v>
      </c>
    </row>
    <row r="621" spans="19:35" x14ac:dyDescent="0.3">
      <c r="S621" s="6">
        <v>604</v>
      </c>
      <c r="T621" s="4">
        <f t="shared" si="144"/>
        <v>302</v>
      </c>
      <c r="U621" s="3">
        <f t="shared" si="145"/>
        <v>-9345475.9815619439</v>
      </c>
      <c r="V621" s="3">
        <f t="shared" si="146"/>
        <v>681972.7809363436</v>
      </c>
      <c r="W621" s="3">
        <f t="shared" si="147"/>
        <v>-28990.437863817104</v>
      </c>
      <c r="X621" s="3">
        <f t="shared" si="148"/>
        <v>2377.5300264434372</v>
      </c>
      <c r="Y621" s="3">
        <f t="shared" si="149"/>
        <v>9350978.6504523959</v>
      </c>
      <c r="Z621" s="3">
        <f t="shared" si="150"/>
        <v>-673283.86150739086</v>
      </c>
      <c r="AA621" s="3">
        <f t="shared" si="151"/>
        <v>9375186.0183882657</v>
      </c>
      <c r="AB621" s="3">
        <f t="shared" si="152"/>
        <v>9310978.6504523959</v>
      </c>
      <c r="AC621" s="3">
        <f t="shared" si="153"/>
        <v>-670783.86150739086</v>
      </c>
      <c r="AD621" s="3">
        <f t="shared" si="154"/>
        <v>9335109.7700047996</v>
      </c>
      <c r="AE621" s="3">
        <f t="shared" si="155"/>
        <v>9325978.6504523959</v>
      </c>
      <c r="AF621" s="3">
        <f t="shared" si="159"/>
        <v>-695783.86150739086</v>
      </c>
      <c r="AG621" s="3">
        <f t="shared" si="156"/>
        <v>9351897.8272128291</v>
      </c>
      <c r="AH621" s="3">
        <f t="shared" si="157"/>
        <v>1.396759238790593E-2</v>
      </c>
      <c r="AI621" s="3">
        <f t="shared" si="158"/>
        <v>-1.0213268618533636E-3</v>
      </c>
    </row>
    <row r="622" spans="19:35" x14ac:dyDescent="0.3">
      <c r="S622" s="6">
        <v>605</v>
      </c>
      <c r="T622" s="4">
        <f t="shared" si="144"/>
        <v>302.5</v>
      </c>
      <c r="U622" s="3">
        <f t="shared" si="145"/>
        <v>-9359971.1970019527</v>
      </c>
      <c r="V622" s="3">
        <f t="shared" si="146"/>
        <v>683161.54569423362</v>
      </c>
      <c r="W622" s="3">
        <f t="shared" si="147"/>
        <v>-28986.212667119762</v>
      </c>
      <c r="X622" s="3">
        <f t="shared" si="148"/>
        <v>2377.2210750677268</v>
      </c>
      <c r="Y622" s="3">
        <f t="shared" si="149"/>
        <v>9365475.9815619439</v>
      </c>
      <c r="Z622" s="3">
        <f t="shared" si="150"/>
        <v>-674472.7809363436</v>
      </c>
      <c r="AA622" s="3">
        <f t="shared" si="151"/>
        <v>9389731.3003854193</v>
      </c>
      <c r="AB622" s="3">
        <f t="shared" si="152"/>
        <v>9325475.9815619439</v>
      </c>
      <c r="AC622" s="3">
        <f t="shared" si="153"/>
        <v>-671972.7809363436</v>
      </c>
      <c r="AD622" s="3">
        <f t="shared" si="154"/>
        <v>9349655.0578621905</v>
      </c>
      <c r="AE622" s="3">
        <f t="shared" si="155"/>
        <v>9340475.9815619439</v>
      </c>
      <c r="AF622" s="3">
        <f t="shared" si="159"/>
        <v>-696972.7809363436</v>
      </c>
      <c r="AG622" s="3">
        <f t="shared" si="156"/>
        <v>9366443.4349171035</v>
      </c>
      <c r="AH622" s="3">
        <f t="shared" si="157"/>
        <v>1.3924265057592339E-2</v>
      </c>
      <c r="AI622" s="3">
        <f t="shared" si="158"/>
        <v>-1.0183505780934927E-3</v>
      </c>
    </row>
    <row r="623" spans="19:35" x14ac:dyDescent="0.3">
      <c r="S623" s="6">
        <v>606</v>
      </c>
      <c r="T623" s="4">
        <f t="shared" si="144"/>
        <v>303</v>
      </c>
      <c r="U623" s="3">
        <f t="shared" si="145"/>
        <v>-9374464.2998544462</v>
      </c>
      <c r="V623" s="3">
        <f t="shared" si="146"/>
        <v>684350.15597717988</v>
      </c>
      <c r="W623" s="3">
        <f t="shared" si="147"/>
        <v>-28981.99361480731</v>
      </c>
      <c r="X623" s="3">
        <f t="shared" si="148"/>
        <v>2376.9125148425646</v>
      </c>
      <c r="Y623" s="3">
        <f t="shared" si="149"/>
        <v>9379971.1970019527</v>
      </c>
      <c r="Z623" s="3">
        <f t="shared" si="150"/>
        <v>-675661.54569423362</v>
      </c>
      <c r="AA623" s="3">
        <f t="shared" si="151"/>
        <v>9404274.4632914755</v>
      </c>
      <c r="AB623" s="3">
        <f t="shared" si="152"/>
        <v>9339971.1970019527</v>
      </c>
      <c r="AC623" s="3">
        <f t="shared" si="153"/>
        <v>-673161.54569423362</v>
      </c>
      <c r="AD623" s="3">
        <f t="shared" si="154"/>
        <v>9364198.2266197</v>
      </c>
      <c r="AE623" s="3">
        <f t="shared" si="155"/>
        <v>9354971.1970019527</v>
      </c>
      <c r="AF623" s="3">
        <f t="shared" si="159"/>
        <v>-698161.54569423362</v>
      </c>
      <c r="AG623" s="3">
        <f t="shared" si="156"/>
        <v>9380986.9225269835</v>
      </c>
      <c r="AH623" s="3">
        <f t="shared" si="157"/>
        <v>1.3881145281824483E-2</v>
      </c>
      <c r="AI623" s="3">
        <f t="shared" si="158"/>
        <v>-1.0153876907137589E-3</v>
      </c>
    </row>
    <row r="624" spans="19:35" x14ac:dyDescent="0.3">
      <c r="S624" s="6">
        <v>607</v>
      </c>
      <c r="T624" s="4">
        <f t="shared" si="144"/>
        <v>303.5</v>
      </c>
      <c r="U624" s="3">
        <f t="shared" si="145"/>
        <v>-9388955.2931915633</v>
      </c>
      <c r="V624" s="3">
        <f t="shared" si="146"/>
        <v>685538.6119807543</v>
      </c>
      <c r="W624" s="3">
        <f t="shared" si="147"/>
        <v>-28977.780687214276</v>
      </c>
      <c r="X624" s="3">
        <f t="shared" si="148"/>
        <v>2376.6043446784329</v>
      </c>
      <c r="Y624" s="3">
        <f t="shared" si="149"/>
        <v>9394464.2998544462</v>
      </c>
      <c r="Z624" s="3">
        <f t="shared" si="150"/>
        <v>-676850.15597717988</v>
      </c>
      <c r="AA624" s="3">
        <f t="shared" si="151"/>
        <v>9418815.5101841763</v>
      </c>
      <c r="AB624" s="3">
        <f t="shared" si="152"/>
        <v>9354464.2998544462</v>
      </c>
      <c r="AC624" s="3">
        <f t="shared" si="153"/>
        <v>-674350.15597717988</v>
      </c>
      <c r="AD624" s="3">
        <f t="shared" si="154"/>
        <v>9378739.2793550771</v>
      </c>
      <c r="AE624" s="3">
        <f t="shared" si="155"/>
        <v>9369464.2998544462</v>
      </c>
      <c r="AF624" s="3">
        <f t="shared" si="159"/>
        <v>-699350.15597717988</v>
      </c>
      <c r="AG624" s="3">
        <f t="shared" si="156"/>
        <v>9395528.2931249943</v>
      </c>
      <c r="AH624" s="3">
        <f t="shared" si="157"/>
        <v>1.383823171951137E-2</v>
      </c>
      <c r="AI624" s="3">
        <f t="shared" si="158"/>
        <v>-1.0124381184872598E-3</v>
      </c>
    </row>
    <row r="625" spans="19:35" x14ac:dyDescent="0.3">
      <c r="S625" s="6">
        <v>608</v>
      </c>
      <c r="T625" s="4">
        <f t="shared" si="144"/>
        <v>304</v>
      </c>
      <c r="U625" s="3">
        <f t="shared" si="145"/>
        <v>-9403444.1800756119</v>
      </c>
      <c r="V625" s="3">
        <f t="shared" si="146"/>
        <v>686726.91389998398</v>
      </c>
      <c r="W625" s="3">
        <f t="shared" si="147"/>
        <v>-28973.573864771544</v>
      </c>
      <c r="X625" s="3">
        <f t="shared" si="148"/>
        <v>2376.2965634904126</v>
      </c>
      <c r="Y625" s="3">
        <f t="shared" si="149"/>
        <v>9408955.2931915633</v>
      </c>
      <c r="Z625" s="3">
        <f t="shared" si="150"/>
        <v>-678038.6119807543</v>
      </c>
      <c r="AA625" s="3">
        <f t="shared" si="151"/>
        <v>9433354.4441314358</v>
      </c>
      <c r="AB625" s="3">
        <f t="shared" si="152"/>
        <v>9368955.2931915633</v>
      </c>
      <c r="AC625" s="3">
        <f t="shared" si="153"/>
        <v>-675538.6119807543</v>
      </c>
      <c r="AD625" s="3">
        <f t="shared" si="154"/>
        <v>9393278.2191362306</v>
      </c>
      <c r="AE625" s="3">
        <f t="shared" si="155"/>
        <v>9383955.2931915633</v>
      </c>
      <c r="AF625" s="3">
        <f t="shared" si="159"/>
        <v>-700538.6119807543</v>
      </c>
      <c r="AG625" s="3">
        <f t="shared" si="156"/>
        <v>9410067.5497837886</v>
      </c>
      <c r="AH625" s="3">
        <f t="shared" si="157"/>
        <v>1.37955230404552E-2</v>
      </c>
      <c r="AI625" s="3">
        <f t="shared" si="158"/>
        <v>-1.0095017808049206E-3</v>
      </c>
    </row>
    <row r="626" spans="19:35" x14ac:dyDescent="0.3">
      <c r="S626" s="6">
        <v>609</v>
      </c>
      <c r="T626" s="4">
        <f t="shared" si="144"/>
        <v>304.5</v>
      </c>
      <c r="U626" s="3">
        <f t="shared" si="145"/>
        <v>-9417930.9635591172</v>
      </c>
      <c r="V626" s="3">
        <f t="shared" si="146"/>
        <v>687915.06192935375</v>
      </c>
      <c r="W626" s="3">
        <f t="shared" si="147"/>
        <v>-28969.373128005725</v>
      </c>
      <c r="X626" s="3">
        <f t="shared" si="148"/>
        <v>2375.9891701981574</v>
      </c>
      <c r="Y626" s="3">
        <f t="shared" si="149"/>
        <v>9423444.1800756119</v>
      </c>
      <c r="Z626" s="3">
        <f t="shared" si="150"/>
        <v>-679226.91389998398</v>
      </c>
      <c r="AA626" s="3">
        <f t="shared" si="151"/>
        <v>9447891.2681913842</v>
      </c>
      <c r="AB626" s="3">
        <f t="shared" si="152"/>
        <v>9383444.1800756119</v>
      </c>
      <c r="AC626" s="3">
        <f t="shared" si="153"/>
        <v>-676726.91389998398</v>
      </c>
      <c r="AD626" s="3">
        <f t="shared" si="154"/>
        <v>9407815.0490212906</v>
      </c>
      <c r="AE626" s="3">
        <f t="shared" si="155"/>
        <v>9398444.1800756119</v>
      </c>
      <c r="AF626" s="3">
        <f t="shared" si="159"/>
        <v>-701726.91389998398</v>
      </c>
      <c r="AG626" s="3">
        <f t="shared" si="156"/>
        <v>9424604.6955662146</v>
      </c>
      <c r="AH626" s="3">
        <f t="shared" si="157"/>
        <v>1.3753017925245147E-2</v>
      </c>
      <c r="AI626" s="3">
        <f t="shared" si="158"/>
        <v>-1.0065785976698736E-3</v>
      </c>
    </row>
    <row r="627" spans="19:35" x14ac:dyDescent="0.3">
      <c r="S627" s="6">
        <v>610</v>
      </c>
      <c r="T627" s="4">
        <f t="shared" si="144"/>
        <v>305</v>
      </c>
      <c r="U627" s="3">
        <f t="shared" si="145"/>
        <v>-9432415.6466848645</v>
      </c>
      <c r="V627" s="3">
        <f t="shared" si="146"/>
        <v>689103.05626280815</v>
      </c>
      <c r="W627" s="3">
        <f t="shared" si="147"/>
        <v>-28965.178457538525</v>
      </c>
      <c r="X627" s="3">
        <f t="shared" si="148"/>
        <v>2375.6821637258681</v>
      </c>
      <c r="Y627" s="3">
        <f t="shared" si="149"/>
        <v>9437930.9635591172</v>
      </c>
      <c r="Z627" s="3">
        <f t="shared" si="150"/>
        <v>-680415.06192935375</v>
      </c>
      <c r="AA627" s="3">
        <f t="shared" si="151"/>
        <v>9462425.9854124226</v>
      </c>
      <c r="AB627" s="3">
        <f t="shared" si="152"/>
        <v>9397930.9635591172</v>
      </c>
      <c r="AC627" s="3">
        <f t="shared" si="153"/>
        <v>-677915.06192935375</v>
      </c>
      <c r="AD627" s="3">
        <f t="shared" si="154"/>
        <v>9422349.7720586602</v>
      </c>
      <c r="AE627" s="3">
        <f t="shared" si="155"/>
        <v>9412930.9635591172</v>
      </c>
      <c r="AF627" s="3">
        <f t="shared" si="159"/>
        <v>-702915.06192935375</v>
      </c>
      <c r="AG627" s="3">
        <f t="shared" si="156"/>
        <v>9439139.7335253544</v>
      </c>
      <c r="AH627" s="3">
        <f t="shared" si="157"/>
        <v>1.3710715065151965E-2</v>
      </c>
      <c r="AI627" s="3">
        <f t="shared" si="158"/>
        <v>-1.00366848969187E-3</v>
      </c>
    </row>
    <row r="628" spans="19:35" x14ac:dyDescent="0.3">
      <c r="S628" s="6">
        <v>611</v>
      </c>
      <c r="T628" s="4">
        <f t="shared" si="144"/>
        <v>305.5</v>
      </c>
      <c r="U628" s="3">
        <f t="shared" si="145"/>
        <v>-9446898.2324859556</v>
      </c>
      <c r="V628" s="3">
        <f t="shared" si="146"/>
        <v>690290.89709375391</v>
      </c>
      <c r="W628" s="3">
        <f t="shared" si="147"/>
        <v>-28960.989834086122</v>
      </c>
      <c r="X628" s="3">
        <f t="shared" si="148"/>
        <v>2375.3755430022675</v>
      </c>
      <c r="Y628" s="3">
        <f t="shared" si="149"/>
        <v>9452415.6466848645</v>
      </c>
      <c r="Z628" s="3">
        <f t="shared" si="150"/>
        <v>-681603.05626280815</v>
      </c>
      <c r="AA628" s="3">
        <f t="shared" si="151"/>
        <v>9476958.5988332592</v>
      </c>
      <c r="AB628" s="3">
        <f t="shared" si="152"/>
        <v>9412415.6466848645</v>
      </c>
      <c r="AC628" s="3">
        <f t="shared" si="153"/>
        <v>-679103.05626280815</v>
      </c>
      <c r="AD628" s="3">
        <f t="shared" si="154"/>
        <v>9436882.3912870474</v>
      </c>
      <c r="AE628" s="3">
        <f t="shared" si="155"/>
        <v>9427415.6466848645</v>
      </c>
      <c r="AF628" s="3">
        <f t="shared" si="159"/>
        <v>-704103.05626280815</v>
      </c>
      <c r="AG628" s="3">
        <f t="shared" si="156"/>
        <v>9453672.6667045765</v>
      </c>
      <c r="AH628" s="3">
        <f t="shared" si="157"/>
        <v>1.3668613162023719E-2</v>
      </c>
      <c r="AI628" s="3">
        <f t="shared" si="158"/>
        <v>-1.000771378081744E-3</v>
      </c>
    </row>
    <row r="629" spans="19:35" x14ac:dyDescent="0.3">
      <c r="S629" s="6">
        <v>612</v>
      </c>
      <c r="T629" s="4">
        <f t="shared" si="144"/>
        <v>306</v>
      </c>
      <c r="U629" s="3">
        <f t="shared" si="145"/>
        <v>-9461378.7239858452</v>
      </c>
      <c r="V629" s="3">
        <f t="shared" si="146"/>
        <v>691478.58461506222</v>
      </c>
      <c r="W629" s="3">
        <f t="shared" si="147"/>
        <v>-28956.807238458543</v>
      </c>
      <c r="X629" s="3">
        <f t="shared" si="148"/>
        <v>2375.0693069605745</v>
      </c>
      <c r="Y629" s="3">
        <f t="shared" si="149"/>
        <v>9466898.2324859556</v>
      </c>
      <c r="Z629" s="3">
        <f t="shared" si="150"/>
        <v>-682790.89709375391</v>
      </c>
      <c r="AA629" s="3">
        <f t="shared" si="151"/>
        <v>9491489.1114829704</v>
      </c>
      <c r="AB629" s="3">
        <f t="shared" si="152"/>
        <v>9426898.2324859556</v>
      </c>
      <c r="AC629" s="3">
        <f t="shared" si="153"/>
        <v>-680290.89709375391</v>
      </c>
      <c r="AD629" s="3">
        <f t="shared" si="154"/>
        <v>9451412.9097355306</v>
      </c>
      <c r="AE629" s="3">
        <f t="shared" si="155"/>
        <v>9441898.2324859556</v>
      </c>
      <c r="AF629" s="3">
        <f t="shared" si="159"/>
        <v>-705290.89709375391</v>
      </c>
      <c r="AG629" s="3">
        <f t="shared" si="156"/>
        <v>9468203.4981375802</v>
      </c>
      <c r="AH629" s="3">
        <f t="shared" si="157"/>
        <v>1.3626710928183249E-2</v>
      </c>
      <c r="AI629" s="3">
        <f t="shared" si="158"/>
        <v>-9.9788718464597715E-4</v>
      </c>
    </row>
    <row r="630" spans="19:35" x14ac:dyDescent="0.3">
      <c r="S630" s="6">
        <v>613</v>
      </c>
      <c r="T630" s="4">
        <f t="shared" si="144"/>
        <v>306.5</v>
      </c>
      <c r="U630" s="3">
        <f t="shared" si="145"/>
        <v>-9475857.1241983976</v>
      </c>
      <c r="V630" s="3">
        <f t="shared" si="146"/>
        <v>692666.11901907076</v>
      </c>
      <c r="W630" s="3">
        <f t="shared" si="147"/>
        <v>-28952.630651559055</v>
      </c>
      <c r="X630" s="3">
        <f t="shared" si="148"/>
        <v>2374.7634545384803</v>
      </c>
      <c r="Y630" s="3">
        <f t="shared" si="149"/>
        <v>9481378.7239858452</v>
      </c>
      <c r="Z630" s="3">
        <f t="shared" si="150"/>
        <v>-683978.58461506222</v>
      </c>
      <c r="AA630" s="3">
        <f t="shared" si="151"/>
        <v>9506017.5263810381</v>
      </c>
      <c r="AB630" s="3">
        <f t="shared" si="152"/>
        <v>9441378.7239858452</v>
      </c>
      <c r="AC630" s="3">
        <f t="shared" si="153"/>
        <v>-681478.58461506222</v>
      </c>
      <c r="AD630" s="3">
        <f t="shared" si="154"/>
        <v>9465941.3304235917</v>
      </c>
      <c r="AE630" s="3">
        <f t="shared" si="155"/>
        <v>9456378.7239858452</v>
      </c>
      <c r="AF630" s="3">
        <f t="shared" si="159"/>
        <v>-706478.58461506222</v>
      </c>
      <c r="AG630" s="3">
        <f t="shared" si="156"/>
        <v>9482732.2308484409</v>
      </c>
      <c r="AH630" s="3">
        <f t="shared" si="157"/>
        <v>1.3585007086326047E-2</v>
      </c>
      <c r="AI630" s="3">
        <f t="shared" si="158"/>
        <v>-9.9501583178126228E-4</v>
      </c>
    </row>
    <row r="631" spans="19:35" x14ac:dyDescent="0.3">
      <c r="S631" s="6">
        <v>614</v>
      </c>
      <c r="T631" s="4">
        <f t="shared" si="144"/>
        <v>307</v>
      </c>
      <c r="U631" s="3">
        <f t="shared" si="145"/>
        <v>-9490333.4361279253</v>
      </c>
      <c r="V631" s="3">
        <f t="shared" si="146"/>
        <v>693853.50049758609</v>
      </c>
      <c r="W631" s="3">
        <f t="shared" si="147"/>
        <v>-28948.460054383551</v>
      </c>
      <c r="X631" s="3">
        <f t="shared" si="148"/>
        <v>2374.4579846781235</v>
      </c>
      <c r="Y631" s="3">
        <f t="shared" si="149"/>
        <v>9495857.1241983976</v>
      </c>
      <c r="Z631" s="3">
        <f t="shared" si="150"/>
        <v>-685166.11901907076</v>
      </c>
      <c r="AA631" s="3">
        <f t="shared" si="151"/>
        <v>9520543.8465373982</v>
      </c>
      <c r="AB631" s="3">
        <f t="shared" si="152"/>
        <v>9455857.1241983976</v>
      </c>
      <c r="AC631" s="3">
        <f t="shared" si="153"/>
        <v>-682666.11901907076</v>
      </c>
      <c r="AD631" s="3">
        <f t="shared" si="154"/>
        <v>9480467.6563611645</v>
      </c>
      <c r="AE631" s="3">
        <f t="shared" si="155"/>
        <v>9470857.1241983976</v>
      </c>
      <c r="AF631" s="3">
        <f t="shared" si="159"/>
        <v>-707666.11901907076</v>
      </c>
      <c r="AG631" s="3">
        <f t="shared" si="156"/>
        <v>9497258.8678516634</v>
      </c>
      <c r="AH631" s="3">
        <f t="shared" si="157"/>
        <v>1.3543500369420165E-2</v>
      </c>
      <c r="AI631" s="3">
        <f t="shared" si="158"/>
        <v>-9.9215724246919383E-4</v>
      </c>
    </row>
    <row r="632" spans="19:35" x14ac:dyDescent="0.3">
      <c r="S632" s="6">
        <v>615</v>
      </c>
      <c r="T632" s="4">
        <f t="shared" si="144"/>
        <v>307.5</v>
      </c>
      <c r="U632" s="3">
        <f t="shared" si="145"/>
        <v>-9504807.6627692413</v>
      </c>
      <c r="V632" s="3">
        <f t="shared" si="146"/>
        <v>695040.72924188594</v>
      </c>
      <c r="W632" s="3">
        <f t="shared" si="147"/>
        <v>-28944.295428019956</v>
      </c>
      <c r="X632" s="3">
        <f t="shared" si="148"/>
        <v>2374.1528963260644</v>
      </c>
      <c r="Y632" s="3">
        <f t="shared" si="149"/>
        <v>9510333.4361279253</v>
      </c>
      <c r="Z632" s="3">
        <f t="shared" si="150"/>
        <v>-686353.50049758609</v>
      </c>
      <c r="AA632" s="3">
        <f t="shared" si="151"/>
        <v>9535068.074952485</v>
      </c>
      <c r="AB632" s="3">
        <f t="shared" si="152"/>
        <v>9470333.4361279253</v>
      </c>
      <c r="AC632" s="3">
        <f t="shared" si="153"/>
        <v>-683853.50049758609</v>
      </c>
      <c r="AD632" s="3">
        <f t="shared" si="154"/>
        <v>9494991.8905486893</v>
      </c>
      <c r="AE632" s="3">
        <f t="shared" si="155"/>
        <v>9485333.4361279253</v>
      </c>
      <c r="AF632" s="3">
        <f t="shared" si="159"/>
        <v>-708853.50049758609</v>
      </c>
      <c r="AG632" s="3">
        <f t="shared" si="156"/>
        <v>9511783.4121522177</v>
      </c>
      <c r="AH632" s="3">
        <f t="shared" si="157"/>
        <v>1.3502189520606157E-2</v>
      </c>
      <c r="AI632" s="3">
        <f t="shared" si="158"/>
        <v>-9.8931134027092785E-4</v>
      </c>
    </row>
    <row r="633" spans="19:35" x14ac:dyDescent="0.3">
      <c r="S633" s="6">
        <v>616</v>
      </c>
      <c r="T633" s="4">
        <f t="shared" si="144"/>
        <v>308</v>
      </c>
      <c r="U633" s="3">
        <f t="shared" si="145"/>
        <v>-9519279.8071077038</v>
      </c>
      <c r="V633" s="3">
        <f t="shared" si="146"/>
        <v>696227.80544272112</v>
      </c>
      <c r="W633" s="3">
        <f t="shared" si="147"/>
        <v>-28940.13675364761</v>
      </c>
      <c r="X633" s="3">
        <f t="shared" si="148"/>
        <v>2373.8481884332609</v>
      </c>
      <c r="Y633" s="3">
        <f t="shared" si="149"/>
        <v>9524807.6627692413</v>
      </c>
      <c r="Z633" s="3">
        <f t="shared" si="150"/>
        <v>-687540.72924188594</v>
      </c>
      <c r="AA633" s="3">
        <f t="shared" si="151"/>
        <v>9549590.2146172803</v>
      </c>
      <c r="AB633" s="3">
        <f t="shared" si="152"/>
        <v>9484807.6627692413</v>
      </c>
      <c r="AC633" s="3">
        <f t="shared" si="153"/>
        <v>-685040.72924188594</v>
      </c>
      <c r="AD633" s="3">
        <f t="shared" si="154"/>
        <v>9509514.0359771457</v>
      </c>
      <c r="AE633" s="3">
        <f t="shared" si="155"/>
        <v>9499807.6627692413</v>
      </c>
      <c r="AF633" s="3">
        <f t="shared" si="159"/>
        <v>-710040.72924188594</v>
      </c>
      <c r="AG633" s="3">
        <f t="shared" si="156"/>
        <v>9526305.8667455949</v>
      </c>
      <c r="AH633" s="3">
        <f t="shared" si="157"/>
        <v>1.3461073293099361E-2</v>
      </c>
      <c r="AI633" s="3">
        <f t="shared" si="158"/>
        <v>-9.8647804932199055E-4</v>
      </c>
    </row>
    <row r="634" spans="19:35" x14ac:dyDescent="0.3">
      <c r="S634" s="6">
        <v>617</v>
      </c>
      <c r="T634" s="4">
        <f t="shared" si="144"/>
        <v>308.5</v>
      </c>
      <c r="U634" s="3">
        <f t="shared" si="145"/>
        <v>-9533749.8721192591</v>
      </c>
      <c r="V634" s="3">
        <f t="shared" si="146"/>
        <v>697414.72929031833</v>
      </c>
      <c r="W634" s="3">
        <f t="shared" si="147"/>
        <v>-28935.98401253669</v>
      </c>
      <c r="X634" s="3">
        <f t="shared" si="148"/>
        <v>2373.5438599550453</v>
      </c>
      <c r="Y634" s="3">
        <f t="shared" si="149"/>
        <v>9539279.8071077038</v>
      </c>
      <c r="Z634" s="3">
        <f t="shared" si="150"/>
        <v>-688727.80544272112</v>
      </c>
      <c r="AA634" s="3">
        <f t="shared" si="151"/>
        <v>9564110.2685133629</v>
      </c>
      <c r="AB634" s="3">
        <f t="shared" si="152"/>
        <v>9499279.8071077038</v>
      </c>
      <c r="AC634" s="3">
        <f t="shared" si="153"/>
        <v>-686227.80544272112</v>
      </c>
      <c r="AD634" s="3">
        <f t="shared" si="154"/>
        <v>9524034.0956281181</v>
      </c>
      <c r="AE634" s="3">
        <f t="shared" si="155"/>
        <v>9514279.8071077038</v>
      </c>
      <c r="AF634" s="3">
        <f t="shared" si="159"/>
        <v>-711227.80544272112</v>
      </c>
      <c r="AG634" s="3">
        <f t="shared" si="156"/>
        <v>9540826.2346178535</v>
      </c>
      <c r="AH634" s="3">
        <f t="shared" si="157"/>
        <v>1.3420150450092545E-2</v>
      </c>
      <c r="AI634" s="3">
        <f t="shared" si="158"/>
        <v>-9.8365729432708568E-4</v>
      </c>
    </row>
    <row r="635" spans="19:35" x14ac:dyDescent="0.3">
      <c r="S635" s="6">
        <v>618</v>
      </c>
      <c r="T635" s="4">
        <f t="shared" si="144"/>
        <v>309</v>
      </c>
      <c r="U635" s="3">
        <f t="shared" si="145"/>
        <v>-9548217.86077049</v>
      </c>
      <c r="V635" s="3">
        <f t="shared" si="146"/>
        <v>698601.50097438158</v>
      </c>
      <c r="W635" s="3">
        <f t="shared" si="147"/>
        <v>-28931.837186047611</v>
      </c>
      <c r="X635" s="3">
        <f t="shared" si="148"/>
        <v>2373.2399098510982</v>
      </c>
      <c r="Y635" s="3">
        <f t="shared" si="149"/>
        <v>9553749.8721192591</v>
      </c>
      <c r="Z635" s="3">
        <f t="shared" si="150"/>
        <v>-689914.72929031833</v>
      </c>
      <c r="AA635" s="3">
        <f t="shared" si="151"/>
        <v>9578628.2396129407</v>
      </c>
      <c r="AB635" s="3">
        <f t="shared" si="152"/>
        <v>9513749.8721192591</v>
      </c>
      <c r="AC635" s="3">
        <f t="shared" si="153"/>
        <v>-687414.72929031833</v>
      </c>
      <c r="AD635" s="3">
        <f t="shared" si="154"/>
        <v>9538552.0724738147</v>
      </c>
      <c r="AE635" s="3">
        <f t="shared" si="155"/>
        <v>9528749.8721192591</v>
      </c>
      <c r="AF635" s="3">
        <f t="shared" si="159"/>
        <v>-712414.72929031833</v>
      </c>
      <c r="AG635" s="3">
        <f t="shared" si="156"/>
        <v>9555344.5187456533</v>
      </c>
      <c r="AH635" s="3">
        <f t="shared" si="157"/>
        <v>1.337941976465923E-2</v>
      </c>
      <c r="AI635" s="3">
        <f t="shared" si="158"/>
        <v>-9.8084900055492742E-4</v>
      </c>
    </row>
    <row r="636" spans="19:35" x14ac:dyDescent="0.3">
      <c r="S636" s="6">
        <v>619</v>
      </c>
      <c r="T636" s="4">
        <f t="shared" si="144"/>
        <v>309.5</v>
      </c>
      <c r="U636" s="3">
        <f t="shared" si="145"/>
        <v>-9562683.7760186587</v>
      </c>
      <c r="V636" s="3">
        <f t="shared" si="146"/>
        <v>699788.12068409484</v>
      </c>
      <c r="W636" s="3">
        <f t="shared" si="147"/>
        <v>-28927.69625563045</v>
      </c>
      <c r="X636" s="3">
        <f t="shared" si="148"/>
        <v>2372.9363370854267</v>
      </c>
      <c r="Y636" s="3">
        <f t="shared" si="149"/>
        <v>9568217.86077049</v>
      </c>
      <c r="Z636" s="3">
        <f t="shared" si="150"/>
        <v>-691101.50097438158</v>
      </c>
      <c r="AA636" s="3">
        <f t="shared" si="151"/>
        <v>9593144.1308789086</v>
      </c>
      <c r="AB636" s="3">
        <f t="shared" si="152"/>
        <v>9528217.86077049</v>
      </c>
      <c r="AC636" s="3">
        <f t="shared" si="153"/>
        <v>-688601.50097438158</v>
      </c>
      <c r="AD636" s="3">
        <f t="shared" si="154"/>
        <v>9553067.969477132</v>
      </c>
      <c r="AE636" s="3">
        <f t="shared" si="155"/>
        <v>9543217.86077049</v>
      </c>
      <c r="AF636" s="3">
        <f t="shared" si="159"/>
        <v>-713601.50097438158</v>
      </c>
      <c r="AG636" s="3">
        <f t="shared" si="156"/>
        <v>9569860.7220963147</v>
      </c>
      <c r="AH636" s="3">
        <f t="shared" si="157"/>
        <v>1.3338880019659775E-2</v>
      </c>
      <c r="AI636" s="3">
        <f t="shared" si="158"/>
        <v>-9.7805309383324759E-4</v>
      </c>
    </row>
    <row r="637" spans="19:35" x14ac:dyDescent="0.3">
      <c r="S637" s="6">
        <v>620</v>
      </c>
      <c r="T637" s="4">
        <f t="shared" si="144"/>
        <v>310</v>
      </c>
      <c r="U637" s="3">
        <f t="shared" si="145"/>
        <v>-9577147.6208117548</v>
      </c>
      <c r="V637" s="3">
        <f t="shared" si="146"/>
        <v>700974.58860812429</v>
      </c>
      <c r="W637" s="3">
        <f t="shared" si="147"/>
        <v>-28923.561202824356</v>
      </c>
      <c r="X637" s="3">
        <f t="shared" si="148"/>
        <v>2372.6331406263384</v>
      </c>
      <c r="Y637" s="3">
        <f t="shared" si="149"/>
        <v>9582683.7760186587</v>
      </c>
      <c r="Z637" s="3">
        <f t="shared" si="150"/>
        <v>-692288.12068409484</v>
      </c>
      <c r="AA637" s="3">
        <f t="shared" si="151"/>
        <v>9607657.9452648889</v>
      </c>
      <c r="AB637" s="3">
        <f t="shared" si="152"/>
        <v>9542683.7760186587</v>
      </c>
      <c r="AC637" s="3">
        <f t="shared" si="153"/>
        <v>-689788.12068409484</v>
      </c>
      <c r="AD637" s="3">
        <f t="shared" si="154"/>
        <v>9567581.7895916943</v>
      </c>
      <c r="AE637" s="3">
        <f t="shared" si="155"/>
        <v>9557683.7760186587</v>
      </c>
      <c r="AF637" s="3">
        <f t="shared" si="159"/>
        <v>-714788.12068409484</v>
      </c>
      <c r="AG637" s="3">
        <f t="shared" si="156"/>
        <v>9584374.8476278502</v>
      </c>
      <c r="AH637" s="3">
        <f t="shared" si="157"/>
        <v>1.3298530007646352E-2</v>
      </c>
      <c r="AI637" s="3">
        <f t="shared" si="158"/>
        <v>-9.7526950054369825E-4</v>
      </c>
    </row>
    <row r="638" spans="19:35" x14ac:dyDescent="0.3">
      <c r="S638" s="6">
        <v>621</v>
      </c>
      <c r="T638" s="4">
        <f t="shared" si="144"/>
        <v>310.5</v>
      </c>
      <c r="U638" s="3">
        <f t="shared" si="145"/>
        <v>-9591609.3980885353</v>
      </c>
      <c r="V638" s="3">
        <f t="shared" si="146"/>
        <v>702160.90493462014</v>
      </c>
      <c r="W638" s="3">
        <f t="shared" si="147"/>
        <v>-28919.432009256983</v>
      </c>
      <c r="X638" s="3">
        <f t="shared" si="148"/>
        <v>2372.3303194464197</v>
      </c>
      <c r="Y638" s="3">
        <f t="shared" si="149"/>
        <v>9597147.6208117548</v>
      </c>
      <c r="Z638" s="3">
        <f t="shared" si="150"/>
        <v>-693474.58860812429</v>
      </c>
      <c r="AA638" s="3">
        <f t="shared" si="151"/>
        <v>9622169.6857152712</v>
      </c>
      <c r="AB638" s="3">
        <f t="shared" si="152"/>
        <v>9557147.6208117548</v>
      </c>
      <c r="AC638" s="3">
        <f t="shared" si="153"/>
        <v>-690974.58860812429</v>
      </c>
      <c r="AD638" s="3">
        <f t="shared" si="154"/>
        <v>9582093.5357618984</v>
      </c>
      <c r="AE638" s="3">
        <f t="shared" si="155"/>
        <v>9572147.6208117548</v>
      </c>
      <c r="AF638" s="3">
        <f t="shared" si="159"/>
        <v>-715974.58860812429</v>
      </c>
      <c r="AG638" s="3">
        <f t="shared" si="156"/>
        <v>9598886.8982890267</v>
      </c>
      <c r="AH638" s="3">
        <f t="shared" si="157"/>
        <v>1.3258368530770722E-2</v>
      </c>
      <c r="AI638" s="3">
        <f t="shared" si="158"/>
        <v>-9.7249814761693454E-4</v>
      </c>
    </row>
    <row r="639" spans="19:35" x14ac:dyDescent="0.3">
      <c r="S639" s="6">
        <v>622</v>
      </c>
      <c r="T639" s="4">
        <f t="shared" si="144"/>
        <v>311</v>
      </c>
      <c r="U639" s="3">
        <f t="shared" si="145"/>
        <v>-9606069.110778572</v>
      </c>
      <c r="V639" s="3">
        <f t="shared" si="146"/>
        <v>703347.06985121884</v>
      </c>
      <c r="W639" s="3">
        <f t="shared" si="147"/>
        <v>-28915.308656643912</v>
      </c>
      <c r="X639" s="3">
        <f t="shared" si="148"/>
        <v>2372.0278725225107</v>
      </c>
      <c r="Y639" s="3">
        <f t="shared" si="149"/>
        <v>9611609.3980885353</v>
      </c>
      <c r="Z639" s="3">
        <f t="shared" si="150"/>
        <v>-694660.90493462014</v>
      </c>
      <c r="AA639" s="3">
        <f t="shared" si="151"/>
        <v>9636679.3551652655</v>
      </c>
      <c r="AB639" s="3">
        <f t="shared" si="152"/>
        <v>9571609.3980885353</v>
      </c>
      <c r="AC639" s="3">
        <f t="shared" si="153"/>
        <v>-692160.90493462014</v>
      </c>
      <c r="AD639" s="3">
        <f t="shared" si="154"/>
        <v>9596603.210922949</v>
      </c>
      <c r="AE639" s="3">
        <f t="shared" si="155"/>
        <v>9586609.3980885353</v>
      </c>
      <c r="AF639" s="3">
        <f t="shared" si="159"/>
        <v>-717160.90493462014</v>
      </c>
      <c r="AG639" s="3">
        <f t="shared" si="156"/>
        <v>9613396.8770193849</v>
      </c>
      <c r="AH639" s="3">
        <f t="shared" si="157"/>
        <v>1.321839440069209E-2</v>
      </c>
      <c r="AI639" s="3">
        <f t="shared" si="158"/>
        <v>-9.6973896252767794E-4</v>
      </c>
    </row>
    <row r="640" spans="19:35" x14ac:dyDescent="0.3">
      <c r="S640" s="6">
        <v>623</v>
      </c>
      <c r="T640" s="4">
        <f t="shared" si="144"/>
        <v>311.5</v>
      </c>
      <c r="U640" s="3">
        <f t="shared" si="145"/>
        <v>-9620526.7618022952</v>
      </c>
      <c r="V640" s="3">
        <f t="shared" si="146"/>
        <v>704533.08354504535</v>
      </c>
      <c r="W640" s="3">
        <f t="shared" si="147"/>
        <v>-28911.191126788097</v>
      </c>
      <c r="X640" s="3">
        <f t="shared" si="148"/>
        <v>2371.7257988356832</v>
      </c>
      <c r="Y640" s="3">
        <f t="shared" si="149"/>
        <v>9626069.110778572</v>
      </c>
      <c r="Z640" s="3">
        <f t="shared" si="150"/>
        <v>-695847.06985121884</v>
      </c>
      <c r="AA640" s="3">
        <f t="shared" si="151"/>
        <v>9651186.9565409366</v>
      </c>
      <c r="AB640" s="3">
        <f t="shared" si="152"/>
        <v>9586069.110778572</v>
      </c>
      <c r="AC640" s="3">
        <f t="shared" si="153"/>
        <v>-693347.06985121884</v>
      </c>
      <c r="AD640" s="3">
        <f t="shared" si="154"/>
        <v>9611110.818000922</v>
      </c>
      <c r="AE640" s="3">
        <f t="shared" si="155"/>
        <v>9601069.110778572</v>
      </c>
      <c r="AF640" s="3">
        <f t="shared" si="159"/>
        <v>-718347.06985121884</v>
      </c>
      <c r="AG640" s="3">
        <f t="shared" si="156"/>
        <v>9627904.7867493089</v>
      </c>
      <c r="AH640" s="3">
        <f t="shared" si="157"/>
        <v>1.3178606438486196E-2</v>
      </c>
      <c r="AI640" s="3">
        <f t="shared" si="158"/>
        <v>-9.6699187328984804E-4</v>
      </c>
    </row>
    <row r="641" spans="19:35" x14ac:dyDescent="0.3">
      <c r="S641" s="6">
        <v>624</v>
      </c>
      <c r="T641" s="4">
        <f t="shared" si="144"/>
        <v>312</v>
      </c>
      <c r="U641" s="3">
        <f t="shared" si="145"/>
        <v>-9634982.3540710378</v>
      </c>
      <c r="V641" s="3">
        <f t="shared" si="146"/>
        <v>705718.94620271528</v>
      </c>
      <c r="W641" s="3">
        <f t="shared" si="147"/>
        <v>-28907.079401579289</v>
      </c>
      <c r="X641" s="3">
        <f t="shared" si="148"/>
        <v>2371.4240973712167</v>
      </c>
      <c r="Y641" s="3">
        <f t="shared" si="149"/>
        <v>9640526.7618022952</v>
      </c>
      <c r="Z641" s="3">
        <f t="shared" si="150"/>
        <v>-697033.08354504535</v>
      </c>
      <c r="AA641" s="3">
        <f t="shared" si="151"/>
        <v>9665692.492759252</v>
      </c>
      <c r="AB641" s="3">
        <f t="shared" si="152"/>
        <v>9600526.7618022952</v>
      </c>
      <c r="AC641" s="3">
        <f t="shared" si="153"/>
        <v>-694533.08354504535</v>
      </c>
      <c r="AD641" s="3">
        <f t="shared" si="154"/>
        <v>9625616.3599127848</v>
      </c>
      <c r="AE641" s="3">
        <f t="shared" si="155"/>
        <v>9615526.7618022952</v>
      </c>
      <c r="AF641" s="3">
        <f t="shared" si="159"/>
        <v>-719533.08354504535</v>
      </c>
      <c r="AG641" s="3">
        <f t="shared" si="156"/>
        <v>9642410.6304000542</v>
      </c>
      <c r="AH641" s="3">
        <f t="shared" si="157"/>
        <v>1.3139003474555853E-2</v>
      </c>
      <c r="AI641" s="3">
        <f t="shared" si="158"/>
        <v>-9.642568084517742E-4</v>
      </c>
    </row>
    <row r="642" spans="19:35" x14ac:dyDescent="0.3">
      <c r="S642" s="6">
        <v>625</v>
      </c>
      <c r="T642" s="4">
        <f t="shared" si="144"/>
        <v>312.5</v>
      </c>
      <c r="U642" s="3">
        <f t="shared" si="145"/>
        <v>-9649435.8904870767</v>
      </c>
      <c r="V642" s="3">
        <f t="shared" si="146"/>
        <v>706904.65801033669</v>
      </c>
      <c r="W642" s="3">
        <f t="shared" si="147"/>
        <v>-28902.97346299349</v>
      </c>
      <c r="X642" s="3">
        <f t="shared" si="148"/>
        <v>2371.1227671185757</v>
      </c>
      <c r="Y642" s="3">
        <f t="shared" si="149"/>
        <v>9654982.3540710378</v>
      </c>
      <c r="Z642" s="3">
        <f t="shared" si="150"/>
        <v>-698218.94620271528</v>
      </c>
      <c r="AA642" s="3">
        <f t="shared" si="151"/>
        <v>9680195.9667281304</v>
      </c>
      <c r="AB642" s="3">
        <f t="shared" si="152"/>
        <v>9614982.3540710378</v>
      </c>
      <c r="AC642" s="3">
        <f t="shared" si="153"/>
        <v>-695718.94620271528</v>
      </c>
      <c r="AD642" s="3">
        <f t="shared" si="154"/>
        <v>9640119.8395664599</v>
      </c>
      <c r="AE642" s="3">
        <f t="shared" si="155"/>
        <v>9629982.3540710378</v>
      </c>
      <c r="AF642" s="3">
        <f t="shared" si="159"/>
        <v>-720718.94620271528</v>
      </c>
      <c r="AG642" s="3">
        <f t="shared" si="156"/>
        <v>9656914.4108837955</v>
      </c>
      <c r="AH642" s="3">
        <f t="shared" si="157"/>
        <v>1.309958434854182E-2</v>
      </c>
      <c r="AI642" s="3">
        <f t="shared" si="158"/>
        <v>-9.6153369709141116E-4</v>
      </c>
    </row>
    <row r="643" spans="19:35" x14ac:dyDescent="0.3">
      <c r="S643" s="6">
        <v>626</v>
      </c>
      <c r="T643" s="4">
        <f t="shared" si="144"/>
        <v>313</v>
      </c>
      <c r="U643" s="3">
        <f t="shared" si="145"/>
        <v>-9663887.373943679</v>
      </c>
      <c r="V643" s="3">
        <f t="shared" si="146"/>
        <v>708090.2191535125</v>
      </c>
      <c r="W643" s="3">
        <f t="shared" si="147"/>
        <v>-28898.873293092398</v>
      </c>
      <c r="X643" s="3">
        <f t="shared" si="148"/>
        <v>2370.821807071386</v>
      </c>
      <c r="Y643" s="3">
        <f t="shared" si="149"/>
        <v>9669435.8904870767</v>
      </c>
      <c r="Z643" s="3">
        <f t="shared" si="150"/>
        <v>-699404.65801033669</v>
      </c>
      <c r="AA643" s="3">
        <f t="shared" si="151"/>
        <v>9694697.3813464735</v>
      </c>
      <c r="AB643" s="3">
        <f t="shared" si="152"/>
        <v>9629435.8904870767</v>
      </c>
      <c r="AC643" s="3">
        <f t="shared" si="153"/>
        <v>-696904.65801033669</v>
      </c>
      <c r="AD643" s="3">
        <f t="shared" si="154"/>
        <v>9654621.2598608509</v>
      </c>
      <c r="AE643" s="3">
        <f t="shared" si="155"/>
        <v>9644435.8904870767</v>
      </c>
      <c r="AF643" s="3">
        <f t="shared" si="159"/>
        <v>-721904.65801033669</v>
      </c>
      <c r="AG643" s="3">
        <f t="shared" si="156"/>
        <v>9671416.1311036684</v>
      </c>
      <c r="AH643" s="3">
        <f t="shared" si="157"/>
        <v>1.3060347909235121E-2</v>
      </c>
      <c r="AI643" s="3">
        <f t="shared" si="158"/>
        <v>-9.5882246881163449E-4</v>
      </c>
    </row>
    <row r="644" spans="19:35" x14ac:dyDescent="0.3">
      <c r="S644" s="6">
        <v>627</v>
      </c>
      <c r="T644" s="4">
        <f t="shared" si="144"/>
        <v>313.5</v>
      </c>
      <c r="U644" s="3">
        <f t="shared" si="145"/>
        <v>-9678336.8073251378</v>
      </c>
      <c r="V644" s="3">
        <f t="shared" si="146"/>
        <v>709275.6298173425</v>
      </c>
      <c r="W644" s="3">
        <f t="shared" si="147"/>
        <v>-28894.778874022853</v>
      </c>
      <c r="X644" s="3">
        <f t="shared" si="148"/>
        <v>2370.5212162274138</v>
      </c>
      <c r="Y644" s="3">
        <f t="shared" si="149"/>
        <v>9683887.373943679</v>
      </c>
      <c r="Z644" s="3">
        <f t="shared" si="150"/>
        <v>-700590.2191535125</v>
      </c>
      <c r="AA644" s="3">
        <f t="shared" si="151"/>
        <v>9709196.73950422</v>
      </c>
      <c r="AB644" s="3">
        <f t="shared" si="152"/>
        <v>9643887.373943679</v>
      </c>
      <c r="AC644" s="3">
        <f t="shared" si="153"/>
        <v>-698090.2191535125</v>
      </c>
      <c r="AD644" s="3">
        <f t="shared" si="154"/>
        <v>9669120.6236859057</v>
      </c>
      <c r="AE644" s="3">
        <f t="shared" si="155"/>
        <v>9658887.373943679</v>
      </c>
      <c r="AF644" s="3">
        <f t="shared" si="159"/>
        <v>-723090.2191535125</v>
      </c>
      <c r="AG644" s="3">
        <f t="shared" si="156"/>
        <v>9685915.7939538211</v>
      </c>
      <c r="AH644" s="3">
        <f t="shared" si="157"/>
        <v>1.302129301448993E-2</v>
      </c>
      <c r="AI644" s="3">
        <f t="shared" si="158"/>
        <v>-9.5612305373555802E-4</v>
      </c>
    </row>
    <row r="645" spans="19:35" x14ac:dyDescent="0.3">
      <c r="S645" s="6">
        <v>628</v>
      </c>
      <c r="T645" s="4">
        <f t="shared" si="144"/>
        <v>314</v>
      </c>
      <c r="U645" s="3">
        <f t="shared" si="145"/>
        <v>-9692784.1935068257</v>
      </c>
      <c r="V645" s="3">
        <f t="shared" si="146"/>
        <v>710460.89018642541</v>
      </c>
      <c r="W645" s="3">
        <f t="shared" si="147"/>
        <v>-28890.690188016302</v>
      </c>
      <c r="X645" s="3">
        <f t="shared" si="148"/>
        <v>2370.2209935885408</v>
      </c>
      <c r="Y645" s="3">
        <f t="shared" si="149"/>
        <v>9698336.8073251378</v>
      </c>
      <c r="Z645" s="3">
        <f t="shared" si="150"/>
        <v>-701775.6298173425</v>
      </c>
      <c r="AA645" s="3">
        <f t="shared" si="151"/>
        <v>9723694.0440823771</v>
      </c>
      <c r="AB645" s="3">
        <f t="shared" si="152"/>
        <v>9658336.8073251378</v>
      </c>
      <c r="AC645" s="3">
        <f t="shared" si="153"/>
        <v>-699275.6298173425</v>
      </c>
      <c r="AD645" s="3">
        <f t="shared" si="154"/>
        <v>9683617.9339226298</v>
      </c>
      <c r="AE645" s="3">
        <f t="shared" si="155"/>
        <v>9673336.8073251378</v>
      </c>
      <c r="AF645" s="3">
        <f t="shared" si="159"/>
        <v>-724275.6298173425</v>
      </c>
      <c r="AG645" s="3">
        <f t="shared" si="156"/>
        <v>9700413.4023194406</v>
      </c>
      <c r="AH645" s="3">
        <f t="shared" si="157"/>
        <v>1.2982418531138091E-2</v>
      </c>
      <c r="AI645" s="3">
        <f t="shared" si="158"/>
        <v>-9.5343538250194752E-4</v>
      </c>
    </row>
    <row r="646" spans="19:35" x14ac:dyDescent="0.3">
      <c r="S646" s="6">
        <v>629</v>
      </c>
      <c r="T646" s="4">
        <f t="shared" si="144"/>
        <v>314.5</v>
      </c>
      <c r="U646" s="3">
        <f t="shared" si="145"/>
        <v>-9707229.5353552289</v>
      </c>
      <c r="V646" s="3">
        <f t="shared" si="146"/>
        <v>711646.00044486078</v>
      </c>
      <c r="W646" s="3">
        <f t="shared" si="147"/>
        <v>-28886.60721738826</v>
      </c>
      <c r="X646" s="3">
        <f t="shared" si="148"/>
        <v>2369.9211381607438</v>
      </c>
      <c r="Y646" s="3">
        <f t="shared" si="149"/>
        <v>9712784.1935068257</v>
      </c>
      <c r="Z646" s="3">
        <f t="shared" si="150"/>
        <v>-702960.89018642541</v>
      </c>
      <c r="AA646" s="3">
        <f t="shared" si="151"/>
        <v>9738189.2979530711</v>
      </c>
      <c r="AB646" s="3">
        <f t="shared" si="152"/>
        <v>9672784.1935068257</v>
      </c>
      <c r="AC646" s="3">
        <f t="shared" si="153"/>
        <v>-700460.89018642541</v>
      </c>
      <c r="AD646" s="3">
        <f t="shared" si="154"/>
        <v>9698113.1934431586</v>
      </c>
      <c r="AE646" s="3">
        <f t="shared" si="155"/>
        <v>9687784.1935068257</v>
      </c>
      <c r="AF646" s="3">
        <f t="shared" si="159"/>
        <v>-725460.89018642541</v>
      </c>
      <c r="AG646" s="3">
        <f t="shared" si="156"/>
        <v>9714908.959076805</v>
      </c>
      <c r="AH646" s="3">
        <f t="shared" si="157"/>
        <v>1.2943723334904102E-2</v>
      </c>
      <c r="AI646" s="3">
        <f t="shared" si="158"/>
        <v>-9.5075938626064545E-4</v>
      </c>
    </row>
    <row r="647" spans="19:35" x14ac:dyDescent="0.3">
      <c r="S647" s="6">
        <v>630</v>
      </c>
      <c r="T647" s="4">
        <f t="shared" si="144"/>
        <v>315</v>
      </c>
      <c r="U647" s="3">
        <f t="shared" si="145"/>
        <v>-9721672.8357279934</v>
      </c>
      <c r="V647" s="3">
        <f t="shared" si="146"/>
        <v>712830.96077625128</v>
      </c>
      <c r="W647" s="3">
        <f t="shared" si="147"/>
        <v>-28882.529944537764</v>
      </c>
      <c r="X647" s="3">
        <f t="shared" si="148"/>
        <v>2369.6216489540716</v>
      </c>
      <c r="Y647" s="3">
        <f t="shared" si="149"/>
        <v>9727229.5353552289</v>
      </c>
      <c r="Z647" s="3">
        <f t="shared" si="150"/>
        <v>-704146.00044486078</v>
      </c>
      <c r="AA647" s="3">
        <f t="shared" si="151"/>
        <v>9752682.5039795898</v>
      </c>
      <c r="AB647" s="3">
        <f t="shared" si="152"/>
        <v>9687229.5353552289</v>
      </c>
      <c r="AC647" s="3">
        <f t="shared" si="153"/>
        <v>-701646.00044486078</v>
      </c>
      <c r="AD647" s="3">
        <f t="shared" si="154"/>
        <v>9712606.4051107801</v>
      </c>
      <c r="AE647" s="3">
        <f t="shared" si="155"/>
        <v>9702229.5353552289</v>
      </c>
      <c r="AF647" s="3">
        <f t="shared" si="159"/>
        <v>-726646.00044486078</v>
      </c>
      <c r="AG647" s="3">
        <f t="shared" si="156"/>
        <v>9729402.4670933336</v>
      </c>
      <c r="AH647" s="3">
        <f t="shared" si="157"/>
        <v>1.2905206310320591E-2</v>
      </c>
      <c r="AI647" s="3">
        <f t="shared" si="158"/>
        <v>-9.4809499666801073E-4</v>
      </c>
    </row>
    <row r="648" spans="19:35" x14ac:dyDescent="0.3">
      <c r="S648" s="6">
        <v>631</v>
      </c>
      <c r="T648" s="4">
        <f t="shared" si="144"/>
        <v>315.5</v>
      </c>
      <c r="U648" s="3">
        <f t="shared" si="145"/>
        <v>-9736114.0974739622</v>
      </c>
      <c r="V648" s="3">
        <f t="shared" si="146"/>
        <v>714015.77136370447</v>
      </c>
      <c r="W648" s="3">
        <f t="shared" si="147"/>
        <v>-28878.458351946858</v>
      </c>
      <c r="X648" s="3">
        <f t="shared" si="148"/>
        <v>2369.3225249826228</v>
      </c>
      <c r="Y648" s="3">
        <f t="shared" si="149"/>
        <v>9741672.8357279934</v>
      </c>
      <c r="Z648" s="3">
        <f t="shared" si="150"/>
        <v>-705330.96077625128</v>
      </c>
      <c r="AA648" s="3">
        <f t="shared" si="151"/>
        <v>9767173.6650164165</v>
      </c>
      <c r="AB648" s="3">
        <f t="shared" si="152"/>
        <v>9701672.8357279934</v>
      </c>
      <c r="AC648" s="3">
        <f t="shared" si="153"/>
        <v>-702830.96077625128</v>
      </c>
      <c r="AD648" s="3">
        <f t="shared" si="154"/>
        <v>9727097.5717799868</v>
      </c>
      <c r="AE648" s="3">
        <f t="shared" si="155"/>
        <v>9716672.8357279934</v>
      </c>
      <c r="AF648" s="3">
        <f t="shared" si="159"/>
        <v>-727830.96077625128</v>
      </c>
      <c r="AG648" s="3">
        <f t="shared" si="156"/>
        <v>9743893.9292276148</v>
      </c>
      <c r="AH648" s="3">
        <f t="shared" si="157"/>
        <v>1.286686635064593E-2</v>
      </c>
      <c r="AI648" s="3">
        <f t="shared" si="158"/>
        <v>-9.4544214588249467E-4</v>
      </c>
    </row>
    <row r="649" spans="19:35" x14ac:dyDescent="0.3">
      <c r="S649" s="6">
        <v>632</v>
      </c>
      <c r="T649" s="4">
        <f t="shared" si="144"/>
        <v>316</v>
      </c>
      <c r="U649" s="3">
        <f t="shared" si="145"/>
        <v>-9750553.3234332185</v>
      </c>
      <c r="V649" s="3">
        <f t="shared" si="146"/>
        <v>715200.43238983524</v>
      </c>
      <c r="W649" s="3">
        <f t="shared" si="147"/>
        <v>-28874.392422180055</v>
      </c>
      <c r="X649" s="3">
        <f t="shared" si="148"/>
        <v>2369.0237652645237</v>
      </c>
      <c r="Y649" s="3">
        <f t="shared" si="149"/>
        <v>9756114.0974739622</v>
      </c>
      <c r="Z649" s="3">
        <f t="shared" si="150"/>
        <v>-706515.77136370447</v>
      </c>
      <c r="AA649" s="3">
        <f t="shared" si="151"/>
        <v>9781662.7839092799</v>
      </c>
      <c r="AB649" s="3">
        <f t="shared" si="152"/>
        <v>9716114.0974739622</v>
      </c>
      <c r="AC649" s="3">
        <f t="shared" si="153"/>
        <v>-704015.77136370447</v>
      </c>
      <c r="AD649" s="3">
        <f t="shared" si="154"/>
        <v>9741586.6962965075</v>
      </c>
      <c r="AE649" s="3">
        <f t="shared" si="155"/>
        <v>9731114.0974739622</v>
      </c>
      <c r="AF649" s="3">
        <f t="shared" si="159"/>
        <v>-729015.77136370447</v>
      </c>
      <c r="AG649" s="3">
        <f t="shared" si="156"/>
        <v>9758383.3483294509</v>
      </c>
      <c r="AH649" s="3">
        <f t="shared" si="157"/>
        <v>1.2828702357781812E-2</v>
      </c>
      <c r="AI649" s="3">
        <f t="shared" si="158"/>
        <v>-9.4280076656019307E-4</v>
      </c>
    </row>
    <row r="650" spans="19:35" x14ac:dyDescent="0.3">
      <c r="S650" s="6">
        <v>633</v>
      </c>
      <c r="T650" s="4">
        <f t="shared" si="144"/>
        <v>316.5</v>
      </c>
      <c r="U650" s="3">
        <f t="shared" si="145"/>
        <v>-9764990.5164371338</v>
      </c>
      <c r="V650" s="3">
        <f t="shared" si="146"/>
        <v>716384.94403676735</v>
      </c>
      <c r="W650" s="3">
        <f t="shared" si="147"/>
        <v>-28870.332137883819</v>
      </c>
      <c r="X650" s="3">
        <f t="shared" si="148"/>
        <v>2368.7253688219075</v>
      </c>
      <c r="Y650" s="3">
        <f t="shared" si="149"/>
        <v>9770553.3234332185</v>
      </c>
      <c r="Z650" s="3">
        <f t="shared" si="150"/>
        <v>-707700.43238983524</v>
      </c>
      <c r="AA650" s="3">
        <f t="shared" si="151"/>
        <v>9796149.8634951822</v>
      </c>
      <c r="AB650" s="3">
        <f t="shared" si="152"/>
        <v>9730553.3234332185</v>
      </c>
      <c r="AC650" s="3">
        <f t="shared" si="153"/>
        <v>-705200.43238983524</v>
      </c>
      <c r="AD650" s="3">
        <f t="shared" si="154"/>
        <v>9756073.7814973537</v>
      </c>
      <c r="AE650" s="3">
        <f t="shared" si="155"/>
        <v>9745553.3234332185</v>
      </c>
      <c r="AF650" s="3">
        <f t="shared" si="159"/>
        <v>-730200.43238983524</v>
      </c>
      <c r="AG650" s="3">
        <f t="shared" si="156"/>
        <v>9772870.7272399012</v>
      </c>
      <c r="AH650" s="3">
        <f t="shared" si="157"/>
        <v>1.2790713242191797E-2</v>
      </c>
      <c r="AI650" s="3">
        <f t="shared" si="158"/>
        <v>-9.401707918504468E-4</v>
      </c>
    </row>
    <row r="651" spans="19:35" x14ac:dyDescent="0.3">
      <c r="S651" s="6">
        <v>634</v>
      </c>
      <c r="T651" s="4">
        <f t="shared" si="144"/>
        <v>317</v>
      </c>
      <c r="U651" s="3">
        <f t="shared" si="145"/>
        <v>-9779425.6793083977</v>
      </c>
      <c r="V651" s="3">
        <f t="shared" si="146"/>
        <v>717569.3064861357</v>
      </c>
      <c r="W651" s="3">
        <f t="shared" si="147"/>
        <v>-28866.277481786045</v>
      </c>
      <c r="X651" s="3">
        <f t="shared" si="148"/>
        <v>2368.4273346808909</v>
      </c>
      <c r="Y651" s="3">
        <f t="shared" si="149"/>
        <v>9784990.5164371338</v>
      </c>
      <c r="Z651" s="3">
        <f t="shared" si="150"/>
        <v>-708884.94403676735</v>
      </c>
      <c r="AA651" s="3">
        <f t="shared" si="151"/>
        <v>9810634.906602459</v>
      </c>
      <c r="AB651" s="3">
        <f t="shared" si="152"/>
        <v>9744990.5164371338</v>
      </c>
      <c r="AC651" s="3">
        <f t="shared" si="153"/>
        <v>-706384.94403676735</v>
      </c>
      <c r="AD651" s="3">
        <f t="shared" si="154"/>
        <v>9770558.8302108645</v>
      </c>
      <c r="AE651" s="3">
        <f t="shared" si="155"/>
        <v>9759990.5164371338</v>
      </c>
      <c r="AF651" s="3">
        <f t="shared" si="159"/>
        <v>-731384.94403676735</v>
      </c>
      <c r="AG651" s="3">
        <f t="shared" si="156"/>
        <v>9787356.0687913299</v>
      </c>
      <c r="AH651" s="3">
        <f t="shared" si="157"/>
        <v>1.2752897922821279E-2</v>
      </c>
      <c r="AI651" s="3">
        <f t="shared" si="158"/>
        <v>-9.3755215539152812E-4</v>
      </c>
    </row>
    <row r="652" spans="19:35" x14ac:dyDescent="0.3">
      <c r="S652" s="6">
        <v>635</v>
      </c>
      <c r="T652" s="4">
        <f t="shared" si="144"/>
        <v>317.5</v>
      </c>
      <c r="U652" s="3">
        <f t="shared" si="145"/>
        <v>-9793858.8148610666</v>
      </c>
      <c r="V652" s="3">
        <f t="shared" si="146"/>
        <v>718753.51991908811</v>
      </c>
      <c r="W652" s="3">
        <f t="shared" si="147"/>
        <v>-28862.22843669555</v>
      </c>
      <c r="X652" s="3">
        <f t="shared" si="148"/>
        <v>2368.1296618715542</v>
      </c>
      <c r="Y652" s="3">
        <f t="shared" si="149"/>
        <v>9799425.6793083977</v>
      </c>
      <c r="Z652" s="3">
        <f t="shared" si="150"/>
        <v>-710069.3064861357</v>
      </c>
      <c r="AA652" s="3">
        <f t="shared" si="151"/>
        <v>9825117.9160508066</v>
      </c>
      <c r="AB652" s="3">
        <f t="shared" si="152"/>
        <v>9759425.6793083977</v>
      </c>
      <c r="AC652" s="3">
        <f t="shared" si="153"/>
        <v>-707569.3064861357</v>
      </c>
      <c r="AD652" s="3">
        <f t="shared" si="154"/>
        <v>9785041.8452567421</v>
      </c>
      <c r="AE652" s="3">
        <f t="shared" si="155"/>
        <v>9774425.6793083977</v>
      </c>
      <c r="AF652" s="3">
        <f t="shared" si="159"/>
        <v>-732569.3064861357</v>
      </c>
      <c r="AG652" s="3">
        <f t="shared" si="156"/>
        <v>9801839.3758074306</v>
      </c>
      <c r="AH652" s="3">
        <f t="shared" si="157"/>
        <v>1.2715255327017828E-2</v>
      </c>
      <c r="AI652" s="3">
        <f t="shared" si="158"/>
        <v>-9.3494479130633323E-4</v>
      </c>
    </row>
    <row r="653" spans="19:35" x14ac:dyDescent="0.3">
      <c r="S653" s="6">
        <v>636</v>
      </c>
      <c r="T653" s="4">
        <f t="shared" si="144"/>
        <v>318</v>
      </c>
      <c r="U653" s="3">
        <f t="shared" si="145"/>
        <v>-9808289.9259006009</v>
      </c>
      <c r="V653" s="3">
        <f t="shared" si="146"/>
        <v>719937.58451628766</v>
      </c>
      <c r="W653" s="3">
        <f t="shared" si="147"/>
        <v>-28858.184985501557</v>
      </c>
      <c r="X653" s="3">
        <f t="shared" si="148"/>
        <v>2367.8323494279189</v>
      </c>
      <c r="Y653" s="3">
        <f t="shared" si="149"/>
        <v>9813858.8148610666</v>
      </c>
      <c r="Z653" s="3">
        <f t="shared" si="150"/>
        <v>-711253.51991908811</v>
      </c>
      <c r="AA653" s="3">
        <f t="shared" si="151"/>
        <v>9839598.8946513236</v>
      </c>
      <c r="AB653" s="3">
        <f t="shared" si="152"/>
        <v>9773858.8148610666</v>
      </c>
      <c r="AC653" s="3">
        <f t="shared" si="153"/>
        <v>-708753.51991908811</v>
      </c>
      <c r="AD653" s="3">
        <f t="shared" si="154"/>
        <v>9799522.8294460885</v>
      </c>
      <c r="AE653" s="3">
        <f t="shared" si="155"/>
        <v>9788858.8148610666</v>
      </c>
      <c r="AF653" s="3">
        <f t="shared" si="159"/>
        <v>-733753.51991908811</v>
      </c>
      <c r="AG653" s="3">
        <f t="shared" si="156"/>
        <v>9816320.6511032861</v>
      </c>
      <c r="AH653" s="3">
        <f t="shared" si="157"/>
        <v>1.2677784390452545E-2</v>
      </c>
      <c r="AI653" s="3">
        <f t="shared" si="158"/>
        <v>-9.3234863419812994E-4</v>
      </c>
    </row>
    <row r="654" spans="19:35" x14ac:dyDescent="0.3">
      <c r="S654" s="6">
        <v>637</v>
      </c>
      <c r="T654" s="4">
        <f t="shared" si="144"/>
        <v>318.5</v>
      </c>
      <c r="U654" s="3">
        <f t="shared" si="145"/>
        <v>-9822719.0152239054</v>
      </c>
      <c r="V654" s="3">
        <f t="shared" si="146"/>
        <v>721121.50045791455</v>
      </c>
      <c r="W654" s="3">
        <f t="shared" si="147"/>
        <v>-28854.147111173199</v>
      </c>
      <c r="X654" s="3">
        <f t="shared" si="148"/>
        <v>2367.5353963879265</v>
      </c>
      <c r="Y654" s="3">
        <f t="shared" si="149"/>
        <v>9828289.9259006009</v>
      </c>
      <c r="Z654" s="3">
        <f t="shared" si="150"/>
        <v>-712437.58451628766</v>
      </c>
      <c r="AA654" s="3">
        <f t="shared" si="151"/>
        <v>9854077.8452065531</v>
      </c>
      <c r="AB654" s="3">
        <f t="shared" si="152"/>
        <v>9788289.9259006009</v>
      </c>
      <c r="AC654" s="3">
        <f t="shared" si="153"/>
        <v>-709937.58451628766</v>
      </c>
      <c r="AD654" s="3">
        <f t="shared" si="154"/>
        <v>9814001.7855814565</v>
      </c>
      <c r="AE654" s="3">
        <f t="shared" si="155"/>
        <v>9803289.9259006009</v>
      </c>
      <c r="AF654" s="3">
        <f t="shared" si="159"/>
        <v>-734937.58451628766</v>
      </c>
      <c r="AG654" s="3">
        <f t="shared" si="156"/>
        <v>9830799.897485394</v>
      </c>
      <c r="AH654" s="3">
        <f t="shared" si="157"/>
        <v>1.2640484057042673E-2</v>
      </c>
      <c r="AI654" s="3">
        <f t="shared" si="158"/>
        <v>-9.2976361914637741E-4</v>
      </c>
    </row>
    <row r="655" spans="19:35" x14ac:dyDescent="0.3">
      <c r="S655" s="6">
        <v>638</v>
      </c>
      <c r="T655" s="4">
        <f t="shared" si="144"/>
        <v>319</v>
      </c>
      <c r="U655" s="3">
        <f t="shared" si="145"/>
        <v>-9837146.0856193714</v>
      </c>
      <c r="V655" s="3">
        <f t="shared" si="146"/>
        <v>722305.26792366768</v>
      </c>
      <c r="W655" s="3">
        <f t="shared" si="147"/>
        <v>-28850.114796759004</v>
      </c>
      <c r="X655" s="3">
        <f t="shared" si="148"/>
        <v>2367.238801793419</v>
      </c>
      <c r="Y655" s="3">
        <f t="shared" si="149"/>
        <v>9842719.0152239054</v>
      </c>
      <c r="Z655" s="3">
        <f t="shared" si="150"/>
        <v>-713621.50045791455</v>
      </c>
      <c r="AA655" s="3">
        <f t="shared" si="151"/>
        <v>9868554.7705105264</v>
      </c>
      <c r="AB655" s="3">
        <f t="shared" si="152"/>
        <v>9802719.0152239054</v>
      </c>
      <c r="AC655" s="3">
        <f t="shared" si="153"/>
        <v>-711121.50045791455</v>
      </c>
      <c r="AD655" s="3">
        <f t="shared" si="154"/>
        <v>9828478.7164568789</v>
      </c>
      <c r="AE655" s="3">
        <f t="shared" si="155"/>
        <v>9817719.0152239054</v>
      </c>
      <c r="AF655" s="3">
        <f t="shared" si="159"/>
        <v>-736121.50045791455</v>
      </c>
      <c r="AG655" s="3">
        <f t="shared" si="156"/>
        <v>9845277.117751712</v>
      </c>
      <c r="AH655" s="3">
        <f t="shared" si="157"/>
        <v>1.2603353278873922E-2</v>
      </c>
      <c r="AI655" s="3">
        <f t="shared" si="158"/>
        <v>-9.2718968170250459E-4</v>
      </c>
    </row>
    <row r="656" spans="19:35" x14ac:dyDescent="0.3">
      <c r="S656" s="6">
        <v>639</v>
      </c>
      <c r="T656" s="4">
        <f t="shared" si="144"/>
        <v>319.5</v>
      </c>
      <c r="U656" s="3">
        <f t="shared" si="145"/>
        <v>-9851571.1398669127</v>
      </c>
      <c r="V656" s="3">
        <f t="shared" si="146"/>
        <v>723488.88709276693</v>
      </c>
      <c r="W656" s="3">
        <f t="shared" si="147"/>
        <v>-28846.088025386405</v>
      </c>
      <c r="X656" s="3">
        <f t="shared" si="148"/>
        <v>2366.942564690115</v>
      </c>
      <c r="Y656" s="3">
        <f t="shared" si="149"/>
        <v>9857146.0856193714</v>
      </c>
      <c r="Z656" s="3">
        <f t="shared" si="150"/>
        <v>-714805.26792366768</v>
      </c>
      <c r="AA656" s="3">
        <f t="shared" si="151"/>
        <v>9883029.6733487919</v>
      </c>
      <c r="AB656" s="3">
        <f t="shared" si="152"/>
        <v>9817146.0856193714</v>
      </c>
      <c r="AC656" s="3">
        <f t="shared" si="153"/>
        <v>-712305.26792366768</v>
      </c>
      <c r="AD656" s="3">
        <f t="shared" si="154"/>
        <v>9842953.6248579156</v>
      </c>
      <c r="AE656" s="3">
        <f t="shared" si="155"/>
        <v>9832146.0856193714</v>
      </c>
      <c r="AF656" s="3">
        <f t="shared" si="159"/>
        <v>-737305.26792366768</v>
      </c>
      <c r="AG656" s="3">
        <f t="shared" si="156"/>
        <v>9859752.3146916982</v>
      </c>
      <c r="AH656" s="3">
        <f t="shared" si="157"/>
        <v>1.2566391016125285E-2</v>
      </c>
      <c r="AI656" s="3">
        <f t="shared" si="158"/>
        <v>-9.2462675788585629E-4</v>
      </c>
    </row>
    <row r="657" spans="19:35" x14ac:dyDescent="0.3">
      <c r="S657" s="6">
        <v>640</v>
      </c>
      <c r="T657" s="4">
        <f t="shared" si="144"/>
        <v>320</v>
      </c>
      <c r="U657" s="3">
        <f t="shared" si="145"/>
        <v>-9865994.1807380095</v>
      </c>
      <c r="V657" s="3">
        <f t="shared" si="146"/>
        <v>724672.35814395524</v>
      </c>
      <c r="W657" s="3">
        <f t="shared" si="147"/>
        <v>-28842.066780261244</v>
      </c>
      <c r="X657" s="3">
        <f t="shared" si="148"/>
        <v>2366.6466841275915</v>
      </c>
      <c r="Y657" s="3">
        <f t="shared" si="149"/>
        <v>9871571.1398669127</v>
      </c>
      <c r="Z657" s="3">
        <f t="shared" si="150"/>
        <v>-715988.88709276693</v>
      </c>
      <c r="AA657" s="3">
        <f t="shared" si="151"/>
        <v>9897502.5564984661</v>
      </c>
      <c r="AB657" s="3">
        <f t="shared" si="152"/>
        <v>9831571.1398669127</v>
      </c>
      <c r="AC657" s="3">
        <f t="shared" si="153"/>
        <v>-713488.88709276693</v>
      </c>
      <c r="AD657" s="3">
        <f t="shared" si="154"/>
        <v>9857426.5135616846</v>
      </c>
      <c r="AE657" s="3">
        <f t="shared" si="155"/>
        <v>9846571.1398669127</v>
      </c>
      <c r="AF657" s="3">
        <f t="shared" si="159"/>
        <v>-738488.88709276693</v>
      </c>
      <c r="AG657" s="3">
        <f t="shared" si="156"/>
        <v>9874225.4910863526</v>
      </c>
      <c r="AH657" s="3">
        <f t="shared" si="157"/>
        <v>1.2529596236993368E-2</v>
      </c>
      <c r="AI657" s="3">
        <f t="shared" si="158"/>
        <v>-9.2207478417957777E-4</v>
      </c>
    </row>
    <row r="658" spans="19:35" x14ac:dyDescent="0.3">
      <c r="S658" s="6">
        <v>641</v>
      </c>
      <c r="T658" s="4">
        <f t="shared" ref="T658:T721" si="160">T657+$C$4</f>
        <v>320.5</v>
      </c>
      <c r="U658" s="3">
        <f t="shared" ref="U658:U721" si="161">U657+(W657*$C$4)+(AH657*POWER($C$4,2))</f>
        <v>-9880415.2109957412</v>
      </c>
      <c r="V658" s="3">
        <f t="shared" ref="V658:V721" si="162">V657+(X657*$C$4)+(AI657*POWER($C$4,2))</f>
        <v>725855.6812555003</v>
      </c>
      <c r="W658" s="3">
        <f t="shared" ref="W658:W721" si="163">W657+(AH657*T658)</f>
        <v>-28838.051044667289</v>
      </c>
      <c r="X658" s="3">
        <f t="shared" ref="X658:X721" si="164">X657+(AI657*T658)</f>
        <v>2366.3511591592619</v>
      </c>
      <c r="Y658" s="3">
        <f t="shared" ref="Y658:Y721" si="165">$C$19-U657</f>
        <v>9885994.1807380095</v>
      </c>
      <c r="Z658" s="3">
        <f t="shared" ref="Z658:Z721" si="166">$C$20-V657</f>
        <v>-717172.35814395524</v>
      </c>
      <c r="AA658" s="3">
        <f t="shared" ref="AA658:AA721" si="167">SQRT(POWER(Y658,2)+POWER(Z658,2))</f>
        <v>9911973.4227282684</v>
      </c>
      <c r="AB658" s="3">
        <f t="shared" ref="AB658:AB721" si="168">$F$19-U657</f>
        <v>9845994.1807380095</v>
      </c>
      <c r="AC658" s="3">
        <f t="shared" ref="AC658:AC721" si="169">$F$20-V657</f>
        <v>-714672.35814395524</v>
      </c>
      <c r="AD658" s="3">
        <f t="shared" ref="AD658:AD721" si="170">SQRT(POWER(AB658,2)+POWER(AC658,2))</f>
        <v>9871897.3853369132</v>
      </c>
      <c r="AE658" s="3">
        <f t="shared" ref="AE658:AE721" si="171">$I$19-U657</f>
        <v>9860994.1807380095</v>
      </c>
      <c r="AF658" s="3">
        <f t="shared" si="159"/>
        <v>-739672.35814395524</v>
      </c>
      <c r="AG658" s="3">
        <f t="shared" ref="AG658:AG721" si="172">SQRT(POWER(AE658,2)+POWER(AF658,2))</f>
        <v>9888696.6497082487</v>
      </c>
      <c r="AH658" s="3">
        <f t="shared" ref="AH658:AH721" si="173">($C$24*(Y658/POWER(POWER(AA658,2)+POWER($C$25,2),3/2)))+($F$24*(AB658/POWER(POWER(AD658,2)+POWER($F$25,2),3/2)))+($I$24*(AE658/POWER(POWER(AG658,2)+POWER($I$25,2),3/2)))</f>
        <v>1.2492967917617736E-2</v>
      </c>
      <c r="AI658" s="3">
        <f t="shared" ref="AI658:AI721" si="174">$C$24*(Z658/POWER(POWER(AA658,2)+POWER($C$25,2),3/2))+$F$24*(AC658/POWER(POWER(AD658,2)+POWER($F$25,2),3/2))+$I$24*(AF658/POWER(POWER(AG658,2)+POWER($I$25,2),3/2))</f>
        <v>-9.195336975265626E-4</v>
      </c>
    </row>
    <row r="659" spans="19:35" x14ac:dyDescent="0.3">
      <c r="S659" s="6">
        <v>642</v>
      </c>
      <c r="T659" s="4">
        <f t="shared" si="160"/>
        <v>321</v>
      </c>
      <c r="U659" s="3">
        <f t="shared" si="161"/>
        <v>-9894834.2333948333</v>
      </c>
      <c r="V659" s="3">
        <f t="shared" si="162"/>
        <v>727038.85660519649</v>
      </c>
      <c r="W659" s="3">
        <f t="shared" si="163"/>
        <v>-28834.040801965733</v>
      </c>
      <c r="X659" s="3">
        <f t="shared" si="164"/>
        <v>2366.0559888423559</v>
      </c>
      <c r="Y659" s="3">
        <f t="shared" si="165"/>
        <v>9900415.2109957412</v>
      </c>
      <c r="Z659" s="3">
        <f t="shared" si="166"/>
        <v>-718355.6812555003</v>
      </c>
      <c r="AA659" s="3">
        <f t="shared" si="167"/>
        <v>9926442.2747985534</v>
      </c>
      <c r="AB659" s="3">
        <f t="shared" si="168"/>
        <v>9860415.2109957412</v>
      </c>
      <c r="AC659" s="3">
        <f t="shared" si="169"/>
        <v>-715855.6812555003</v>
      </c>
      <c r="AD659" s="3">
        <f t="shared" si="170"/>
        <v>9886366.2429439649</v>
      </c>
      <c r="AE659" s="3">
        <f t="shared" si="171"/>
        <v>9875415.2109957412</v>
      </c>
      <c r="AF659" s="3">
        <f t="shared" ref="AF659:AF722" si="175">$I$20-V658</f>
        <v>-740855.6812555003</v>
      </c>
      <c r="AG659" s="3">
        <f t="shared" si="172"/>
        <v>9903165.7933215778</v>
      </c>
      <c r="AH659" s="3">
        <f t="shared" si="173"/>
        <v>1.2456505042008065E-2</v>
      </c>
      <c r="AI659" s="3">
        <f t="shared" si="174"/>
        <v>-9.1700343532551186E-4</v>
      </c>
    </row>
    <row r="660" spans="19:35" x14ac:dyDescent="0.3">
      <c r="S660" s="6">
        <v>643</v>
      </c>
      <c r="T660" s="4">
        <f t="shared" si="160"/>
        <v>321.5</v>
      </c>
      <c r="U660" s="3">
        <f t="shared" si="161"/>
        <v>-9909251.250681689</v>
      </c>
      <c r="V660" s="3">
        <f t="shared" si="162"/>
        <v>728221.88437036681</v>
      </c>
      <c r="W660" s="3">
        <f t="shared" si="163"/>
        <v>-28830.036035594727</v>
      </c>
      <c r="X660" s="3">
        <f t="shared" si="164"/>
        <v>2365.7611722378988</v>
      </c>
      <c r="Y660" s="3">
        <f t="shared" si="165"/>
        <v>9914834.2333948333</v>
      </c>
      <c r="Z660" s="3">
        <f t="shared" si="166"/>
        <v>-719538.85660519649</v>
      </c>
      <c r="AA660" s="3">
        <f t="shared" si="167"/>
        <v>9940909.1154613644</v>
      </c>
      <c r="AB660" s="3">
        <f t="shared" si="168"/>
        <v>9874834.2333948333</v>
      </c>
      <c r="AC660" s="3">
        <f t="shared" si="169"/>
        <v>-717038.85660519649</v>
      </c>
      <c r="AD660" s="3">
        <f t="shared" si="170"/>
        <v>9900833.089134885</v>
      </c>
      <c r="AE660" s="3">
        <f t="shared" si="171"/>
        <v>9889834.2333948333</v>
      </c>
      <c r="AF660" s="3">
        <f t="shared" si="175"/>
        <v>-742038.85660519649</v>
      </c>
      <c r="AG660" s="3">
        <f t="shared" si="172"/>
        <v>9917632.9246821962</v>
      </c>
      <c r="AH660" s="3">
        <f t="shared" si="173"/>
        <v>1.2420206601970303E-2</v>
      </c>
      <c r="AI660" s="3">
        <f t="shared" si="174"/>
        <v>-9.1448393542689968E-4</v>
      </c>
    </row>
    <row r="661" spans="19:35" x14ac:dyDescent="0.3">
      <c r="S661" s="6">
        <v>644</v>
      </c>
      <c r="T661" s="4">
        <f t="shared" si="160"/>
        <v>322</v>
      </c>
      <c r="U661" s="3">
        <f t="shared" si="161"/>
        <v>-9923666.265594434</v>
      </c>
      <c r="V661" s="3">
        <f t="shared" si="162"/>
        <v>729404.76472786476</v>
      </c>
      <c r="W661" s="3">
        <f t="shared" si="163"/>
        <v>-28826.036729068892</v>
      </c>
      <c r="X661" s="3">
        <f t="shared" si="164"/>
        <v>2365.4667084106914</v>
      </c>
      <c r="Y661" s="3">
        <f t="shared" si="165"/>
        <v>9929251.250681689</v>
      </c>
      <c r="Z661" s="3">
        <f t="shared" si="166"/>
        <v>-720721.88437036681</v>
      </c>
      <c r="AA661" s="3">
        <f t="shared" si="167"/>
        <v>9955373.9474604502</v>
      </c>
      <c r="AB661" s="3">
        <f t="shared" si="168"/>
        <v>9889251.250681689</v>
      </c>
      <c r="AC661" s="3">
        <f t="shared" si="169"/>
        <v>-718221.88437036681</v>
      </c>
      <c r="AD661" s="3">
        <f t="shared" si="170"/>
        <v>9915297.9266534317</v>
      </c>
      <c r="AE661" s="3">
        <f t="shared" si="171"/>
        <v>9904251.250681689</v>
      </c>
      <c r="AF661" s="3">
        <f t="shared" si="175"/>
        <v>-743221.88437036681</v>
      </c>
      <c r="AG661" s="3">
        <f t="shared" si="172"/>
        <v>9932098.0465376414</v>
      </c>
      <c r="AH661" s="3">
        <f t="shared" si="173"/>
        <v>1.2384071597035608E-2</v>
      </c>
      <c r="AI661" s="3">
        <f t="shared" si="174"/>
        <v>-9.1197513612913019E-4</v>
      </c>
    </row>
    <row r="662" spans="19:35" x14ac:dyDescent="0.3">
      <c r="S662" s="6">
        <v>645</v>
      </c>
      <c r="T662" s="4">
        <f t="shared" si="160"/>
        <v>322.5</v>
      </c>
      <c r="U662" s="3">
        <f t="shared" si="161"/>
        <v>-9938079.2808629498</v>
      </c>
      <c r="V662" s="3">
        <f t="shared" si="162"/>
        <v>730587.49785407633</v>
      </c>
      <c r="W662" s="3">
        <f t="shared" si="163"/>
        <v>-28822.042865978849</v>
      </c>
      <c r="X662" s="3">
        <f t="shared" si="164"/>
        <v>2365.1725964292896</v>
      </c>
      <c r="Y662" s="3">
        <f t="shared" si="165"/>
        <v>9943666.265594434</v>
      </c>
      <c r="Z662" s="3">
        <f t="shared" si="166"/>
        <v>-721904.76472786476</v>
      </c>
      <c r="AA662" s="3">
        <f t="shared" si="167"/>
        <v>9969836.773531327</v>
      </c>
      <c r="AB662" s="3">
        <f t="shared" si="168"/>
        <v>9903666.265594434</v>
      </c>
      <c r="AC662" s="3">
        <f t="shared" si="169"/>
        <v>-719404.76472786476</v>
      </c>
      <c r="AD662" s="3">
        <f t="shared" si="170"/>
        <v>9929760.7582351323</v>
      </c>
      <c r="AE662" s="3">
        <f t="shared" si="171"/>
        <v>9918666.265594434</v>
      </c>
      <c r="AF662" s="3">
        <f t="shared" si="175"/>
        <v>-744404.76472786476</v>
      </c>
      <c r="AG662" s="3">
        <f t="shared" si="172"/>
        <v>9946561.1616271976</v>
      </c>
      <c r="AH662" s="3">
        <f t="shared" si="173"/>
        <v>1.2348099034388573E-2</v>
      </c>
      <c r="AI662" s="3">
        <f t="shared" si="174"/>
        <v>-9.094769761746203E-4</v>
      </c>
    </row>
    <row r="663" spans="19:35" x14ac:dyDescent="0.3">
      <c r="S663" s="6">
        <v>646</v>
      </c>
      <c r="T663" s="4">
        <f t="shared" si="160"/>
        <v>323</v>
      </c>
      <c r="U663" s="3">
        <f t="shared" si="161"/>
        <v>-9952490.2992089149</v>
      </c>
      <c r="V663" s="3">
        <f t="shared" si="162"/>
        <v>731770.0839249217</v>
      </c>
      <c r="W663" s="3">
        <f t="shared" si="163"/>
        <v>-28818.054429990741</v>
      </c>
      <c r="X663" s="3">
        <f t="shared" si="164"/>
        <v>2364.8788353659852</v>
      </c>
      <c r="Y663" s="3">
        <f t="shared" si="165"/>
        <v>9958079.2808629498</v>
      </c>
      <c r="Z663" s="3">
        <f t="shared" si="166"/>
        <v>-723087.49785407633</v>
      </c>
      <c r="AA663" s="3">
        <f t="shared" si="167"/>
        <v>9984297.596401304</v>
      </c>
      <c r="AB663" s="3">
        <f t="shared" si="168"/>
        <v>9918079.2808629498</v>
      </c>
      <c r="AC663" s="3">
        <f t="shared" si="169"/>
        <v>-720587.49785407633</v>
      </c>
      <c r="AD663" s="3">
        <f t="shared" si="170"/>
        <v>9944221.586607296</v>
      </c>
      <c r="AE663" s="3">
        <f t="shared" si="171"/>
        <v>9933079.2808629498</v>
      </c>
      <c r="AF663" s="3">
        <f t="shared" si="175"/>
        <v>-745587.49785407633</v>
      </c>
      <c r="AG663" s="3">
        <f t="shared" si="172"/>
        <v>9961022.2726819105</v>
      </c>
      <c r="AH663" s="3">
        <f t="shared" si="173"/>
        <v>1.2312287928796732E-2</v>
      </c>
      <c r="AI663" s="3">
        <f t="shared" si="174"/>
        <v>-9.0698939474596245E-4</v>
      </c>
    </row>
    <row r="664" spans="19:35" x14ac:dyDescent="0.3">
      <c r="S664" s="6">
        <v>647</v>
      </c>
      <c r="T664" s="4">
        <f t="shared" si="160"/>
        <v>323.5</v>
      </c>
      <c r="U664" s="3">
        <f t="shared" si="161"/>
        <v>-9966899.3233458381</v>
      </c>
      <c r="V664" s="3">
        <f t="shared" si="162"/>
        <v>732952.52311585727</v>
      </c>
      <c r="W664" s="3">
        <f t="shared" si="163"/>
        <v>-28814.071404845774</v>
      </c>
      <c r="X664" s="3">
        <f t="shared" si="164"/>
        <v>2364.5854242967848</v>
      </c>
      <c r="Y664" s="3">
        <f t="shared" si="165"/>
        <v>9972490.2992089149</v>
      </c>
      <c r="Z664" s="3">
        <f t="shared" si="166"/>
        <v>-724270.0839249217</v>
      </c>
      <c r="AA664" s="3">
        <f t="shared" si="167"/>
        <v>9998756.4187895153</v>
      </c>
      <c r="AB664" s="3">
        <f t="shared" si="168"/>
        <v>9932490.2992089149</v>
      </c>
      <c r="AC664" s="3">
        <f t="shared" si="169"/>
        <v>-721770.0839249217</v>
      </c>
      <c r="AD664" s="3">
        <f t="shared" si="170"/>
        <v>9958680.41448907</v>
      </c>
      <c r="AE664" s="3">
        <f t="shared" si="171"/>
        <v>9947490.2992089149</v>
      </c>
      <c r="AF664" s="3">
        <f t="shared" si="175"/>
        <v>-746770.0839249217</v>
      </c>
      <c r="AG664" s="3">
        <f t="shared" si="172"/>
        <v>9975481.3824246451</v>
      </c>
      <c r="AH664" s="3">
        <f t="shared" si="173"/>
        <v>1.2276637302541148E-2</v>
      </c>
      <c r="AI664" s="3">
        <f t="shared" si="174"/>
        <v>-9.0451233146214712E-4</v>
      </c>
    </row>
    <row r="665" spans="19:35" x14ac:dyDescent="0.3">
      <c r="S665" s="6">
        <v>648</v>
      </c>
      <c r="T665" s="4">
        <f t="shared" si="160"/>
        <v>324</v>
      </c>
      <c r="U665" s="3">
        <f t="shared" si="161"/>
        <v>-9981306.3559791017</v>
      </c>
      <c r="V665" s="3">
        <f t="shared" si="162"/>
        <v>734134.81560187764</v>
      </c>
      <c r="W665" s="3">
        <f t="shared" si="163"/>
        <v>-28810.09377435975</v>
      </c>
      <c r="X665" s="3">
        <f t="shared" si="164"/>
        <v>2364.2923623013912</v>
      </c>
      <c r="Y665" s="3">
        <f t="shared" si="165"/>
        <v>9986899.3233458381</v>
      </c>
      <c r="Z665" s="3">
        <f t="shared" si="166"/>
        <v>-725452.52311585727</v>
      </c>
      <c r="AA665" s="3">
        <f t="shared" si="167"/>
        <v>10013213.24340697</v>
      </c>
      <c r="AB665" s="3">
        <f t="shared" si="168"/>
        <v>9946899.3233458381</v>
      </c>
      <c r="AC665" s="3">
        <f t="shared" si="169"/>
        <v>-722952.52311585727</v>
      </c>
      <c r="AD665" s="3">
        <f t="shared" si="170"/>
        <v>9973137.2445914671</v>
      </c>
      <c r="AE665" s="3">
        <f t="shared" si="171"/>
        <v>9961899.3233458381</v>
      </c>
      <c r="AF665" s="3">
        <f t="shared" si="175"/>
        <v>-747952.52311585727</v>
      </c>
      <c r="AG665" s="3">
        <f t="shared" si="172"/>
        <v>9989938.4935701005</v>
      </c>
      <c r="AH665" s="3">
        <f t="shared" si="173"/>
        <v>1.2241146185347085E-2</v>
      </c>
      <c r="AI665" s="3">
        <f t="shared" si="174"/>
        <v>-9.0204572637477562E-4</v>
      </c>
    </row>
    <row r="666" spans="19:35" x14ac:dyDescent="0.3">
      <c r="S666" s="6">
        <v>649</v>
      </c>
      <c r="T666" s="4">
        <f t="shared" si="160"/>
        <v>324.5</v>
      </c>
      <c r="U666" s="3">
        <f t="shared" si="161"/>
        <v>-9995711.3998059947</v>
      </c>
      <c r="V666" s="3">
        <f t="shared" si="162"/>
        <v>735316.96155751694</v>
      </c>
      <c r="W666" s="3">
        <f t="shared" si="163"/>
        <v>-28806.121522422603</v>
      </c>
      <c r="X666" s="3">
        <f t="shared" si="164"/>
        <v>2363.9996484631824</v>
      </c>
      <c r="Y666" s="3">
        <f t="shared" si="165"/>
        <v>10001306.355979102</v>
      </c>
      <c r="Z666" s="3">
        <f t="shared" si="166"/>
        <v>-726634.81560187764</v>
      </c>
      <c r="AA666" s="3">
        <f t="shared" si="167"/>
        <v>10027668.072956583</v>
      </c>
      <c r="AB666" s="3">
        <f t="shared" si="168"/>
        <v>9961306.3559791017</v>
      </c>
      <c r="AC666" s="3">
        <f t="shared" si="169"/>
        <v>-724134.81560187764</v>
      </c>
      <c r="AD666" s="3">
        <f t="shared" si="170"/>
        <v>9987592.0796174109</v>
      </c>
      <c r="AE666" s="3">
        <f t="shared" si="171"/>
        <v>9976306.3559791017</v>
      </c>
      <c r="AF666" s="3">
        <f t="shared" si="175"/>
        <v>-749134.81560187764</v>
      </c>
      <c r="AG666" s="3">
        <f t="shared" si="172"/>
        <v>10004393.60882487</v>
      </c>
      <c r="AH666" s="3">
        <f t="shared" si="173"/>
        <v>1.2205813614316087E-2</v>
      </c>
      <c r="AI666" s="3">
        <f t="shared" si="174"/>
        <v>-8.9958951996436183E-4</v>
      </c>
    </row>
    <row r="667" spans="19:35" x14ac:dyDescent="0.3">
      <c r="S667" s="6">
        <v>650</v>
      </c>
      <c r="T667" s="4">
        <f t="shared" si="160"/>
        <v>325</v>
      </c>
      <c r="U667" s="3">
        <f t="shared" si="161"/>
        <v>-10010114.457515752</v>
      </c>
      <c r="V667" s="3">
        <f t="shared" si="162"/>
        <v>736498.96115685115</v>
      </c>
      <c r="W667" s="3">
        <f t="shared" si="163"/>
        <v>-28802.15463299795</v>
      </c>
      <c r="X667" s="3">
        <f t="shared" si="164"/>
        <v>2363.707281869194</v>
      </c>
      <c r="Y667" s="3">
        <f t="shared" si="165"/>
        <v>10015711.399805995</v>
      </c>
      <c r="Z667" s="3">
        <f t="shared" si="166"/>
        <v>-727816.96155751694</v>
      </c>
      <c r="AA667" s="3">
        <f t="shared" si="167"/>
        <v>10042120.910133207</v>
      </c>
      <c r="AB667" s="3">
        <f t="shared" si="168"/>
        <v>9975711.3998059947</v>
      </c>
      <c r="AC667" s="3">
        <f t="shared" si="169"/>
        <v>-725316.96155751694</v>
      </c>
      <c r="AD667" s="3">
        <f t="shared" si="170"/>
        <v>10002044.922261763</v>
      </c>
      <c r="AE667" s="3">
        <f t="shared" si="171"/>
        <v>9990711.3998059947</v>
      </c>
      <c r="AF667" s="3">
        <f t="shared" si="175"/>
        <v>-750316.96155751694</v>
      </c>
      <c r="AG667" s="3">
        <f t="shared" si="172"/>
        <v>10018846.730887461</v>
      </c>
      <c r="AH667" s="3">
        <f t="shared" si="173"/>
        <v>1.2170638633858297E-2</v>
      </c>
      <c r="AI667" s="3">
        <f t="shared" si="174"/>
        <v>-8.9714365313663092E-4</v>
      </c>
    </row>
    <row r="668" spans="19:35" x14ac:dyDescent="0.3">
      <c r="S668" s="6">
        <v>651</v>
      </c>
      <c r="T668" s="4">
        <f t="shared" si="160"/>
        <v>325.5</v>
      </c>
      <c r="U668" s="3">
        <f t="shared" si="161"/>
        <v>-10024515.531789592</v>
      </c>
      <c r="V668" s="3">
        <f t="shared" si="162"/>
        <v>737680.81457349984</v>
      </c>
      <c r="W668" s="3">
        <f t="shared" si="163"/>
        <v>-28798.19309012263</v>
      </c>
      <c r="X668" s="3">
        <f t="shared" si="164"/>
        <v>2363.4152616100982</v>
      </c>
      <c r="Y668" s="3">
        <f t="shared" si="165"/>
        <v>10030114.457515752</v>
      </c>
      <c r="Z668" s="3">
        <f t="shared" si="166"/>
        <v>-728998.96115685115</v>
      </c>
      <c r="AA668" s="3">
        <f t="shared" si="167"/>
        <v>10056571.757623682</v>
      </c>
      <c r="AB668" s="3">
        <f t="shared" si="168"/>
        <v>9990114.4575157519</v>
      </c>
      <c r="AC668" s="3">
        <f t="shared" si="169"/>
        <v>-726498.96115685115</v>
      </c>
      <c r="AD668" s="3">
        <f t="shared" si="170"/>
        <v>10016495.77521137</v>
      </c>
      <c r="AE668" s="3">
        <f t="shared" si="171"/>
        <v>10005114.457515752</v>
      </c>
      <c r="AF668" s="3">
        <f t="shared" si="175"/>
        <v>-751498.96115685115</v>
      </c>
      <c r="AG668" s="3">
        <f t="shared" si="172"/>
        <v>10033297.862448346</v>
      </c>
      <c r="AH668" s="3">
        <f t="shared" si="173"/>
        <v>1.2135620295625565E-2</v>
      </c>
      <c r="AI668" s="3">
        <f t="shared" si="174"/>
        <v>-8.9470806721886364E-4</v>
      </c>
    </row>
    <row r="669" spans="19:35" x14ac:dyDescent="0.3">
      <c r="S669" s="6">
        <v>652</v>
      </c>
      <c r="T669" s="4">
        <f t="shared" si="160"/>
        <v>326</v>
      </c>
      <c r="U669" s="3">
        <f t="shared" si="161"/>
        <v>-10038914.625300748</v>
      </c>
      <c r="V669" s="3">
        <f t="shared" si="162"/>
        <v>738862.52198062791</v>
      </c>
      <c r="W669" s="3">
        <f t="shared" si="163"/>
        <v>-28794.236877906256</v>
      </c>
      <c r="X669" s="3">
        <f t="shared" si="164"/>
        <v>2363.1235867801847</v>
      </c>
      <c r="Y669" s="3">
        <f t="shared" si="165"/>
        <v>10044515.531789592</v>
      </c>
      <c r="Z669" s="3">
        <f t="shared" si="166"/>
        <v>-730180.81457349984</v>
      </c>
      <c r="AA669" s="3">
        <f t="shared" si="167"/>
        <v>10071020.618106864</v>
      </c>
      <c r="AB669" s="3">
        <f t="shared" si="168"/>
        <v>10004515.531789592</v>
      </c>
      <c r="AC669" s="3">
        <f t="shared" si="169"/>
        <v>-727680.81457349984</v>
      </c>
      <c r="AD669" s="3">
        <f t="shared" si="170"/>
        <v>10030944.641145097</v>
      </c>
      <c r="AE669" s="3">
        <f t="shared" si="171"/>
        <v>10019515.531789592</v>
      </c>
      <c r="AF669" s="3">
        <f t="shared" si="175"/>
        <v>-752680.81457349984</v>
      </c>
      <c r="AG669" s="3">
        <f t="shared" si="172"/>
        <v>10047747.006189989</v>
      </c>
      <c r="AH669" s="3">
        <f t="shared" si="173"/>
        <v>1.2100757658445781E-2</v>
      </c>
      <c r="AI669" s="3">
        <f t="shared" si="174"/>
        <v>-8.9228270395631294E-4</v>
      </c>
    </row>
    <row r="670" spans="19:35" x14ac:dyDescent="0.3">
      <c r="S670" s="6">
        <v>653</v>
      </c>
      <c r="T670" s="4">
        <f t="shared" si="160"/>
        <v>326.5</v>
      </c>
      <c r="U670" s="3">
        <f t="shared" si="161"/>
        <v>-10053311.740714513</v>
      </c>
      <c r="V670" s="3">
        <f t="shared" si="162"/>
        <v>740044.08355094725</v>
      </c>
      <c r="W670" s="3">
        <f t="shared" si="163"/>
        <v>-28790.285980530774</v>
      </c>
      <c r="X670" s="3">
        <f t="shared" si="164"/>
        <v>2362.832256477343</v>
      </c>
      <c r="Y670" s="3">
        <f t="shared" si="165"/>
        <v>10058914.625300748</v>
      </c>
      <c r="Z670" s="3">
        <f t="shared" si="166"/>
        <v>-731362.52198062791</v>
      </c>
      <c r="AA670" s="3">
        <f t="shared" si="167"/>
        <v>10085467.494253658</v>
      </c>
      <c r="AB670" s="3">
        <f t="shared" si="168"/>
        <v>10018914.625300748</v>
      </c>
      <c r="AC670" s="3">
        <f t="shared" si="169"/>
        <v>-728862.52198062791</v>
      </c>
      <c r="AD670" s="3">
        <f t="shared" si="170"/>
        <v>10045391.522733856</v>
      </c>
      <c r="AE670" s="3">
        <f t="shared" si="171"/>
        <v>10033914.625300748</v>
      </c>
      <c r="AF670" s="3">
        <f t="shared" si="175"/>
        <v>-753862.52198062791</v>
      </c>
      <c r="AG670" s="3">
        <f t="shared" si="172"/>
        <v>10062194.164786886</v>
      </c>
      <c r="AH670" s="3">
        <f t="shared" si="173"/>
        <v>1.2066049788257137E-2</v>
      </c>
      <c r="AI670" s="3">
        <f t="shared" si="174"/>
        <v>-8.8986750550860017E-4</v>
      </c>
    </row>
    <row r="671" spans="19:35" x14ac:dyDescent="0.3">
      <c r="S671" s="6">
        <v>654</v>
      </c>
      <c r="T671" s="4">
        <f t="shared" si="160"/>
        <v>327</v>
      </c>
      <c r="U671" s="3">
        <f t="shared" si="161"/>
        <v>-10067706.880688265</v>
      </c>
      <c r="V671" s="3">
        <f t="shared" si="162"/>
        <v>741225.49945671903</v>
      </c>
      <c r="W671" s="3">
        <f t="shared" si="163"/>
        <v>-28786.340382250015</v>
      </c>
      <c r="X671" s="3">
        <f t="shared" si="164"/>
        <v>2362.5412698030418</v>
      </c>
      <c r="Y671" s="3">
        <f t="shared" si="165"/>
        <v>10073311.740714513</v>
      </c>
      <c r="Z671" s="3">
        <f t="shared" si="166"/>
        <v>-732544.08355094725</v>
      </c>
      <c r="AA671" s="3">
        <f t="shared" si="167"/>
        <v>10099912.38872706</v>
      </c>
      <c r="AB671" s="3">
        <f t="shared" si="168"/>
        <v>10033311.740714513</v>
      </c>
      <c r="AC671" s="3">
        <f t="shared" si="169"/>
        <v>-730044.08355094725</v>
      </c>
      <c r="AD671" s="3">
        <f t="shared" si="170"/>
        <v>10059836.42264065</v>
      </c>
      <c r="AE671" s="3">
        <f t="shared" si="171"/>
        <v>10048311.740714513</v>
      </c>
      <c r="AF671" s="3">
        <f t="shared" si="175"/>
        <v>-755044.08355094725</v>
      </c>
      <c r="AG671" s="3">
        <f t="shared" si="172"/>
        <v>10076639.340905599</v>
      </c>
      <c r="AH671" s="3">
        <f t="shared" si="173"/>
        <v>1.2031495758043501E-2</v>
      </c>
      <c r="AI671" s="3">
        <f t="shared" si="174"/>
        <v>-8.8746241444617746E-4</v>
      </c>
    </row>
    <row r="672" spans="19:35" x14ac:dyDescent="0.3">
      <c r="S672" s="6">
        <v>655</v>
      </c>
      <c r="T672" s="4">
        <f t="shared" si="160"/>
        <v>327.5</v>
      </c>
      <c r="U672" s="3">
        <f t="shared" si="161"/>
        <v>-10082100.047871515</v>
      </c>
      <c r="V672" s="3">
        <f t="shared" si="162"/>
        <v>742406.76986975491</v>
      </c>
      <c r="W672" s="3">
        <f t="shared" si="163"/>
        <v>-28782.400067389255</v>
      </c>
      <c r="X672" s="3">
        <f t="shared" si="164"/>
        <v>2362.2506258623107</v>
      </c>
      <c r="Y672" s="3">
        <f t="shared" si="165"/>
        <v>10087706.880688265</v>
      </c>
      <c r="Z672" s="3">
        <f t="shared" si="166"/>
        <v>-733725.49945671903</v>
      </c>
      <c r="AA672" s="3">
        <f t="shared" si="167"/>
        <v>10114355.304182189</v>
      </c>
      <c r="AB672" s="3">
        <f t="shared" si="168"/>
        <v>10047706.880688265</v>
      </c>
      <c r="AC672" s="3">
        <f t="shared" si="169"/>
        <v>-731225.49945671903</v>
      </c>
      <c r="AD672" s="3">
        <f t="shared" si="170"/>
        <v>10074279.34352061</v>
      </c>
      <c r="AE672" s="3">
        <f t="shared" si="171"/>
        <v>10062706.880688265</v>
      </c>
      <c r="AF672" s="3">
        <f t="shared" si="175"/>
        <v>-756225.49945671903</v>
      </c>
      <c r="AG672" s="3">
        <f t="shared" si="172"/>
        <v>10091082.537204793</v>
      </c>
      <c r="AH672" s="3">
        <f t="shared" si="173"/>
        <v>1.1997094647770845E-2</v>
      </c>
      <c r="AI672" s="3">
        <f t="shared" si="174"/>
        <v>-8.8506737374685238E-4</v>
      </c>
    </row>
    <row r="673" spans="19:35" x14ac:dyDescent="0.3">
      <c r="S673" s="6">
        <v>656</v>
      </c>
      <c r="T673" s="4">
        <f t="shared" si="160"/>
        <v>328</v>
      </c>
      <c r="U673" s="3">
        <f t="shared" si="161"/>
        <v>-10096491.244905936</v>
      </c>
      <c r="V673" s="3">
        <f t="shared" si="162"/>
        <v>743587.89496141917</v>
      </c>
      <c r="W673" s="3">
        <f t="shared" si="163"/>
        <v>-28778.465020344785</v>
      </c>
      <c r="X673" s="3">
        <f t="shared" si="164"/>
        <v>2361.9603237637216</v>
      </c>
      <c r="Y673" s="3">
        <f t="shared" si="165"/>
        <v>10102100.047871515</v>
      </c>
      <c r="Z673" s="3">
        <f t="shared" si="166"/>
        <v>-734906.76986975491</v>
      </c>
      <c r="AA673" s="3">
        <f t="shared" si="167"/>
        <v>10128796.243266327</v>
      </c>
      <c r="AB673" s="3">
        <f t="shared" si="168"/>
        <v>10062100.047871515</v>
      </c>
      <c r="AC673" s="3">
        <f t="shared" si="169"/>
        <v>-732406.76986975491</v>
      </c>
      <c r="AD673" s="3">
        <f t="shared" si="170"/>
        <v>10088720.288021022</v>
      </c>
      <c r="AE673" s="3">
        <f t="shared" si="171"/>
        <v>10077100.047871515</v>
      </c>
      <c r="AF673" s="3">
        <f t="shared" si="175"/>
        <v>-757406.76986975491</v>
      </c>
      <c r="AG673" s="3">
        <f t="shared" si="172"/>
        <v>10105523.756335275</v>
      </c>
      <c r="AH673" s="3">
        <f t="shared" si="173"/>
        <v>1.1962845544323182E-2</v>
      </c>
      <c r="AI673" s="3">
        <f t="shared" si="174"/>
        <v>-8.8268232679226098E-4</v>
      </c>
    </row>
    <row r="674" spans="19:35" x14ac:dyDescent="0.3">
      <c r="S674" s="6">
        <v>657</v>
      </c>
      <c r="T674" s="4">
        <f t="shared" si="160"/>
        <v>328.5</v>
      </c>
      <c r="U674" s="3">
        <f t="shared" si="161"/>
        <v>-10110880.474425396</v>
      </c>
      <c r="V674" s="3">
        <f t="shared" si="162"/>
        <v>744768.87490263046</v>
      </c>
      <c r="W674" s="3">
        <f t="shared" si="163"/>
        <v>-28774.535225583477</v>
      </c>
      <c r="X674" s="3">
        <f t="shared" si="164"/>
        <v>2361.6703626193703</v>
      </c>
      <c r="Y674" s="3">
        <f t="shared" si="165"/>
        <v>10116491.244905936</v>
      </c>
      <c r="Z674" s="3">
        <f t="shared" si="166"/>
        <v>-736087.89496141917</v>
      </c>
      <c r="AA674" s="3">
        <f t="shared" si="167"/>
        <v>10143235.208618954</v>
      </c>
      <c r="AB674" s="3">
        <f t="shared" si="168"/>
        <v>10076491.244905936</v>
      </c>
      <c r="AC674" s="3">
        <f t="shared" si="169"/>
        <v>-733587.89496141917</v>
      </c>
      <c r="AD674" s="3">
        <f t="shared" si="170"/>
        <v>10103159.258781379</v>
      </c>
      <c r="AE674" s="3">
        <f t="shared" si="171"/>
        <v>10091491.244905936</v>
      </c>
      <c r="AF674" s="3">
        <f t="shared" si="175"/>
        <v>-758587.89496141917</v>
      </c>
      <c r="AG674" s="3">
        <f t="shared" si="172"/>
        <v>10119963.00094003</v>
      </c>
      <c r="AH674" s="3">
        <f t="shared" si="173"/>
        <v>1.1928747541440644E-2</v>
      </c>
      <c r="AI674" s="3">
        <f t="shared" si="174"/>
        <v>-8.8030721736448436E-4</v>
      </c>
    </row>
    <row r="675" spans="19:35" x14ac:dyDescent="0.3">
      <c r="S675" s="6">
        <v>658</v>
      </c>
      <c r="T675" s="4">
        <f t="shared" si="160"/>
        <v>329</v>
      </c>
      <c r="U675" s="3">
        <f t="shared" si="161"/>
        <v>-10125267.739056002</v>
      </c>
      <c r="V675" s="3">
        <f t="shared" si="162"/>
        <v>745949.70986386342</v>
      </c>
      <c r="W675" s="3">
        <f t="shared" si="163"/>
        <v>-28770.610667642344</v>
      </c>
      <c r="X675" s="3">
        <f t="shared" si="164"/>
        <v>2361.3807415448573</v>
      </c>
      <c r="Y675" s="3">
        <f t="shared" si="165"/>
        <v>10130880.474425396</v>
      </c>
      <c r="Z675" s="3">
        <f t="shared" si="166"/>
        <v>-737268.87490263046</v>
      </c>
      <c r="AA675" s="3">
        <f t="shared" si="167"/>
        <v>10157672.202871773</v>
      </c>
      <c r="AB675" s="3">
        <f t="shared" si="168"/>
        <v>10090880.474425396</v>
      </c>
      <c r="AC675" s="3">
        <f t="shared" si="169"/>
        <v>-734768.87490263046</v>
      </c>
      <c r="AD675" s="3">
        <f t="shared" si="170"/>
        <v>10117596.258433392</v>
      </c>
      <c r="AE675" s="3">
        <f t="shared" si="171"/>
        <v>10105880.474425396</v>
      </c>
      <c r="AF675" s="3">
        <f t="shared" si="175"/>
        <v>-759768.87490263046</v>
      </c>
      <c r="AG675" s="3">
        <f t="shared" si="172"/>
        <v>10134400.273654247</v>
      </c>
      <c r="AH675" s="3">
        <f t="shared" si="173"/>
        <v>1.1894799739657373E-2</v>
      </c>
      <c r="AI675" s="3">
        <f t="shared" si="174"/>
        <v>-8.7794198964263621E-4</v>
      </c>
    </row>
    <row r="676" spans="19:35" x14ac:dyDescent="0.3">
      <c r="S676" s="6">
        <v>659</v>
      </c>
      <c r="T676" s="4">
        <f t="shared" si="160"/>
        <v>329.5</v>
      </c>
      <c r="U676" s="3">
        <f t="shared" si="161"/>
        <v>-10139653.041416124</v>
      </c>
      <c r="V676" s="3">
        <f t="shared" si="162"/>
        <v>747130.40001515031</v>
      </c>
      <c r="W676" s="3">
        <f t="shared" si="163"/>
        <v>-28766.691331128128</v>
      </c>
      <c r="X676" s="3">
        <f t="shared" si="164"/>
        <v>2361.0914596592702</v>
      </c>
      <c r="Y676" s="3">
        <f t="shared" si="165"/>
        <v>10145267.739056002</v>
      </c>
      <c r="Z676" s="3">
        <f t="shared" si="166"/>
        <v>-738449.70986386342</v>
      </c>
      <c r="AA676" s="3">
        <f t="shared" si="167"/>
        <v>10172107.228648769</v>
      </c>
      <c r="AB676" s="3">
        <f t="shared" si="168"/>
        <v>10105267.739056002</v>
      </c>
      <c r="AC676" s="3">
        <f t="shared" si="169"/>
        <v>-735949.70986386342</v>
      </c>
      <c r="AD676" s="3">
        <f t="shared" si="170"/>
        <v>10132031.28960105</v>
      </c>
      <c r="AE676" s="3">
        <f t="shared" si="171"/>
        <v>10120267.739056002</v>
      </c>
      <c r="AF676" s="3">
        <f t="shared" si="175"/>
        <v>-760949.70986386342</v>
      </c>
      <c r="AG676" s="3">
        <f t="shared" si="172"/>
        <v>10148835.577105364</v>
      </c>
      <c r="AH676" s="3">
        <f t="shared" si="173"/>
        <v>1.1861001246239759E-2</v>
      </c>
      <c r="AI676" s="3">
        <f t="shared" si="174"/>
        <v>-8.7558658819946096E-4</v>
      </c>
    </row>
    <row r="677" spans="19:35" x14ac:dyDescent="0.3">
      <c r="S677" s="6">
        <v>660</v>
      </c>
      <c r="T677" s="4">
        <f t="shared" si="160"/>
        <v>330</v>
      </c>
      <c r="U677" s="3">
        <f t="shared" si="161"/>
        <v>-10154036.384116437</v>
      </c>
      <c r="V677" s="3">
        <f t="shared" si="162"/>
        <v>748310.94552608323</v>
      </c>
      <c r="W677" s="3">
        <f t="shared" si="163"/>
        <v>-28762.777200716868</v>
      </c>
      <c r="X677" s="3">
        <f t="shared" si="164"/>
        <v>2360.8025160851644</v>
      </c>
      <c r="Y677" s="3">
        <f t="shared" si="165"/>
        <v>10159653.041416124</v>
      </c>
      <c r="Z677" s="3">
        <f t="shared" si="166"/>
        <v>-739630.40001515031</v>
      </c>
      <c r="AA677" s="3">
        <f t="shared" si="167"/>
        <v>10186540.288566206</v>
      </c>
      <c r="AB677" s="3">
        <f t="shared" si="168"/>
        <v>10119653.041416124</v>
      </c>
      <c r="AC677" s="3">
        <f t="shared" si="169"/>
        <v>-737130.40001515031</v>
      </c>
      <c r="AD677" s="3">
        <f t="shared" si="170"/>
        <v>10146464.354900632</v>
      </c>
      <c r="AE677" s="3">
        <f t="shared" si="171"/>
        <v>10134653.041416124</v>
      </c>
      <c r="AF677" s="3">
        <f t="shared" si="175"/>
        <v>-762130.40001515031</v>
      </c>
      <c r="AG677" s="3">
        <f t="shared" si="172"/>
        <v>10163268.913913099</v>
      </c>
      <c r="AH677" s="3">
        <f t="shared" si="173"/>
        <v>1.1827351175126226E-2</v>
      </c>
      <c r="AI677" s="3">
        <f t="shared" si="174"/>
        <v>-8.7324095799803242E-4</v>
      </c>
    </row>
    <row r="678" spans="19:35" x14ac:dyDescent="0.3">
      <c r="S678" s="6">
        <v>661</v>
      </c>
      <c r="T678" s="4">
        <f t="shared" si="160"/>
        <v>330.5</v>
      </c>
      <c r="U678" s="3">
        <f t="shared" si="161"/>
        <v>-10168417.769759959</v>
      </c>
      <c r="V678" s="3">
        <f t="shared" si="162"/>
        <v>749491.3465658155</v>
      </c>
      <c r="W678" s="3">
        <f t="shared" si="163"/>
        <v>-28758.86826115349</v>
      </c>
      <c r="X678" s="3">
        <f t="shared" si="164"/>
        <v>2360.5139099485459</v>
      </c>
      <c r="Y678" s="3">
        <f t="shared" si="165"/>
        <v>10174036.384116437</v>
      </c>
      <c r="Z678" s="3">
        <f t="shared" si="166"/>
        <v>-740810.94552608323</v>
      </c>
      <c r="AA678" s="3">
        <f t="shared" si="167"/>
        <v>10200971.385232698</v>
      </c>
      <c r="AB678" s="3">
        <f t="shared" si="168"/>
        <v>10134036.384116437</v>
      </c>
      <c r="AC678" s="3">
        <f t="shared" si="169"/>
        <v>-738310.94552608323</v>
      </c>
      <c r="AD678" s="3">
        <f t="shared" si="170"/>
        <v>10160895.456940761</v>
      </c>
      <c r="AE678" s="3">
        <f t="shared" si="171"/>
        <v>10149036.384116437</v>
      </c>
      <c r="AF678" s="3">
        <f t="shared" si="175"/>
        <v>-763310.94552608323</v>
      </c>
      <c r="AG678" s="3">
        <f t="shared" si="172"/>
        <v>10177700.286689483</v>
      </c>
      <c r="AH678" s="3">
        <f t="shared" si="173"/>
        <v>1.1793848646867212E-2</v>
      </c>
      <c r="AI678" s="3">
        <f t="shared" si="174"/>
        <v>-8.7090504438845249E-4</v>
      </c>
    </row>
    <row r="679" spans="19:35" x14ac:dyDescent="0.3">
      <c r="S679" s="6">
        <v>662</v>
      </c>
      <c r="T679" s="4">
        <f t="shared" si="160"/>
        <v>331</v>
      </c>
      <c r="U679" s="3">
        <f t="shared" si="161"/>
        <v>-10182797.200942073</v>
      </c>
      <c r="V679" s="3">
        <f t="shared" si="162"/>
        <v>750671.60330306354</v>
      </c>
      <c r="W679" s="3">
        <f t="shared" si="163"/>
        <v>-28754.964497251378</v>
      </c>
      <c r="X679" s="3">
        <f t="shared" si="164"/>
        <v>2360.2256403788533</v>
      </c>
      <c r="Y679" s="3">
        <f t="shared" si="165"/>
        <v>10188417.769759959</v>
      </c>
      <c r="Z679" s="3">
        <f t="shared" si="166"/>
        <v>-741991.3465658155</v>
      </c>
      <c r="AA679" s="3">
        <f t="shared" si="167"/>
        <v>10215400.521249229</v>
      </c>
      <c r="AB679" s="3">
        <f t="shared" si="168"/>
        <v>10148417.769759959</v>
      </c>
      <c r="AC679" s="3">
        <f t="shared" si="169"/>
        <v>-739491.3465658155</v>
      </c>
      <c r="AD679" s="3">
        <f t="shared" si="170"/>
        <v>10175324.598322425</v>
      </c>
      <c r="AE679" s="3">
        <f t="shared" si="171"/>
        <v>10163417.769759959</v>
      </c>
      <c r="AF679" s="3">
        <f t="shared" si="175"/>
        <v>-764491.3465658155</v>
      </c>
      <c r="AG679" s="3">
        <f t="shared" si="172"/>
        <v>10192129.698038898</v>
      </c>
      <c r="AH679" s="3">
        <f t="shared" si="173"/>
        <v>1.1760492788565526E-2</v>
      </c>
      <c r="AI679" s="3">
        <f t="shared" si="174"/>
        <v>-8.6857879310456385E-4</v>
      </c>
    </row>
    <row r="680" spans="19:35" x14ac:dyDescent="0.3">
      <c r="S680" s="6">
        <v>663</v>
      </c>
      <c r="T680" s="4">
        <f t="shared" si="160"/>
        <v>331.5</v>
      </c>
      <c r="U680" s="3">
        <f t="shared" si="161"/>
        <v>-10197174.680250574</v>
      </c>
      <c r="V680" s="3">
        <f t="shared" si="162"/>
        <v>751851.71590610826</v>
      </c>
      <c r="W680" s="3">
        <f t="shared" si="163"/>
        <v>-28751.06589389197</v>
      </c>
      <c r="X680" s="3">
        <f t="shared" si="164"/>
        <v>2359.9377065089393</v>
      </c>
      <c r="Y680" s="3">
        <f t="shared" si="165"/>
        <v>10202797.200942073</v>
      </c>
      <c r="Z680" s="3">
        <f t="shared" si="166"/>
        <v>-743171.60330306354</v>
      </c>
      <c r="AA680" s="3">
        <f t="shared" si="167"/>
        <v>10229827.699209183</v>
      </c>
      <c r="AB680" s="3">
        <f t="shared" si="168"/>
        <v>10162797.200942073</v>
      </c>
      <c r="AC680" s="3">
        <f t="shared" si="169"/>
        <v>-740671.60330306354</v>
      </c>
      <c r="AD680" s="3">
        <f t="shared" si="170"/>
        <v>10189751.781639019</v>
      </c>
      <c r="AE680" s="3">
        <f t="shared" si="171"/>
        <v>10177797.200942073</v>
      </c>
      <c r="AF680" s="3">
        <f t="shared" si="175"/>
        <v>-765671.60330306354</v>
      </c>
      <c r="AG680" s="3">
        <f t="shared" si="172"/>
        <v>10206557.150558114</v>
      </c>
      <c r="AH680" s="3">
        <f t="shared" si="173"/>
        <v>1.1727282733817769E-2</v>
      </c>
      <c r="AI680" s="3">
        <f t="shared" si="174"/>
        <v>-8.6626215026072576E-4</v>
      </c>
    </row>
    <row r="681" spans="19:35" x14ac:dyDescent="0.3">
      <c r="S681" s="6">
        <v>664</v>
      </c>
      <c r="T681" s="4">
        <f t="shared" si="160"/>
        <v>332</v>
      </c>
      <c r="U681" s="3">
        <f t="shared" si="161"/>
        <v>-10211550.2102657</v>
      </c>
      <c r="V681" s="3">
        <f t="shared" si="162"/>
        <v>753031.68454279716</v>
      </c>
      <c r="W681" s="3">
        <f t="shared" si="163"/>
        <v>-28747.172436024342</v>
      </c>
      <c r="X681" s="3">
        <f t="shared" si="164"/>
        <v>2359.6501074750527</v>
      </c>
      <c r="Y681" s="3">
        <f t="shared" si="165"/>
        <v>10217174.680250574</v>
      </c>
      <c r="Z681" s="3">
        <f t="shared" si="166"/>
        <v>-744351.71590610826</v>
      </c>
      <c r="AA681" s="3">
        <f t="shared" si="167"/>
        <v>10244252.92169838</v>
      </c>
      <c r="AB681" s="3">
        <f t="shared" si="168"/>
        <v>10177174.680250574</v>
      </c>
      <c r="AC681" s="3">
        <f t="shared" si="169"/>
        <v>-741851.71590610826</v>
      </c>
      <c r="AD681" s="3">
        <f t="shared" si="170"/>
        <v>10204177.009476375</v>
      </c>
      <c r="AE681" s="3">
        <f t="shared" si="171"/>
        <v>10192174.680250574</v>
      </c>
      <c r="AF681" s="3">
        <f t="shared" si="175"/>
        <v>-766851.71590610826</v>
      </c>
      <c r="AG681" s="3">
        <f t="shared" si="172"/>
        <v>10220982.646836312</v>
      </c>
      <c r="AH681" s="3">
        <f t="shared" si="173"/>
        <v>1.1694217622656048E-2</v>
      </c>
      <c r="AI681" s="3">
        <f t="shared" si="174"/>
        <v>-8.6395506234859939E-4</v>
      </c>
    </row>
    <row r="682" spans="19:35" x14ac:dyDescent="0.3">
      <c r="S682" s="6">
        <v>665</v>
      </c>
      <c r="T682" s="4">
        <f t="shared" si="160"/>
        <v>332.5</v>
      </c>
      <c r="U682" s="3">
        <f t="shared" si="161"/>
        <v>-10225923.793560158</v>
      </c>
      <c r="V682" s="3">
        <f t="shared" si="162"/>
        <v>754211.50938054593</v>
      </c>
      <c r="W682" s="3">
        <f t="shared" si="163"/>
        <v>-28743.284108664808</v>
      </c>
      <c r="X682" s="3">
        <f t="shared" si="164"/>
        <v>2359.3628424168219</v>
      </c>
      <c r="Y682" s="3">
        <f t="shared" si="165"/>
        <v>10231550.2102657</v>
      </c>
      <c r="Z682" s="3">
        <f t="shared" si="166"/>
        <v>-745531.68454279716</v>
      </c>
      <c r="AA682" s="3">
        <f t="shared" si="167"/>
        <v>10258676.191295117</v>
      </c>
      <c r="AB682" s="3">
        <f t="shared" si="168"/>
        <v>10191550.2102657</v>
      </c>
      <c r="AC682" s="3">
        <f t="shared" si="169"/>
        <v>-743031.68454279716</v>
      </c>
      <c r="AD682" s="3">
        <f t="shared" si="170"/>
        <v>10218600.284412799</v>
      </c>
      <c r="AE682" s="3">
        <f t="shared" si="171"/>
        <v>10206550.2102657</v>
      </c>
      <c r="AF682" s="3">
        <f t="shared" si="175"/>
        <v>-768031.68454279716</v>
      </c>
      <c r="AG682" s="3">
        <f t="shared" si="172"/>
        <v>10235406.189455133</v>
      </c>
      <c r="AH682" s="3">
        <f t="shared" si="173"/>
        <v>1.1661296601490397E-2</v>
      </c>
      <c r="AI682" s="3">
        <f t="shared" si="174"/>
        <v>-8.6165747623397244E-4</v>
      </c>
    </row>
    <row r="683" spans="19:35" x14ac:dyDescent="0.3">
      <c r="S683" s="6">
        <v>666</v>
      </c>
      <c r="T683" s="4">
        <f t="shared" si="160"/>
        <v>333</v>
      </c>
      <c r="U683" s="3">
        <f t="shared" si="161"/>
        <v>-10240295.432699166</v>
      </c>
      <c r="V683" s="3">
        <f t="shared" si="162"/>
        <v>755391.19058634003</v>
      </c>
      <c r="W683" s="3">
        <f t="shared" si="163"/>
        <v>-28739.40089689651</v>
      </c>
      <c r="X683" s="3">
        <f t="shared" si="164"/>
        <v>2359.075910477236</v>
      </c>
      <c r="Y683" s="3">
        <f t="shared" si="165"/>
        <v>10245923.793560158</v>
      </c>
      <c r="Z683" s="3">
        <f t="shared" si="166"/>
        <v>-746711.50938054593</v>
      </c>
      <c r="AA683" s="3">
        <f t="shared" si="167"/>
        <v>10273097.510570196</v>
      </c>
      <c r="AB683" s="3">
        <f t="shared" si="168"/>
        <v>10205923.793560158</v>
      </c>
      <c r="AC683" s="3">
        <f t="shared" si="169"/>
        <v>-744211.50938054593</v>
      </c>
      <c r="AD683" s="3">
        <f t="shared" si="170"/>
        <v>10233021.609019099</v>
      </c>
      <c r="AE683" s="3">
        <f t="shared" si="171"/>
        <v>10220923.793560158</v>
      </c>
      <c r="AF683" s="3">
        <f t="shared" si="175"/>
        <v>-769211.50938054593</v>
      </c>
      <c r="AG683" s="3">
        <f t="shared" si="172"/>
        <v>10249827.780988697</v>
      </c>
      <c r="AH683" s="3">
        <f t="shared" si="173"/>
        <v>1.1628518823052105E-2</v>
      </c>
      <c r="AI683" s="3">
        <f t="shared" si="174"/>
        <v>-8.5936933915363575E-4</v>
      </c>
    </row>
    <row r="684" spans="19:35" x14ac:dyDescent="0.3">
      <c r="S684" s="6">
        <v>667</v>
      </c>
      <c r="T684" s="4">
        <f t="shared" si="160"/>
        <v>333.5</v>
      </c>
      <c r="U684" s="3">
        <f t="shared" si="161"/>
        <v>-10254665.130240485</v>
      </c>
      <c r="V684" s="3">
        <f t="shared" si="162"/>
        <v>756570.72832673625</v>
      </c>
      <c r="W684" s="3">
        <f t="shared" si="163"/>
        <v>-28735.522785869023</v>
      </c>
      <c r="X684" s="3">
        <f t="shared" si="164"/>
        <v>2358.7893108026283</v>
      </c>
      <c r="Y684" s="3">
        <f t="shared" si="165"/>
        <v>10260295.432699166</v>
      </c>
      <c r="Z684" s="3">
        <f t="shared" si="166"/>
        <v>-747891.19058634003</v>
      </c>
      <c r="AA684" s="3">
        <f t="shared" si="167"/>
        <v>10287516.882086951</v>
      </c>
      <c r="AB684" s="3">
        <f t="shared" si="168"/>
        <v>10220295.432699166</v>
      </c>
      <c r="AC684" s="3">
        <f t="shared" si="169"/>
        <v>-745391.19058634003</v>
      </c>
      <c r="AD684" s="3">
        <f t="shared" si="170"/>
        <v>10247440.985858623</v>
      </c>
      <c r="AE684" s="3">
        <f t="shared" si="171"/>
        <v>10235295.432699166</v>
      </c>
      <c r="AF684" s="3">
        <f t="shared" si="175"/>
        <v>-770391.19058634003</v>
      </c>
      <c r="AG684" s="3">
        <f t="shared" si="172"/>
        <v>10264247.424003644</v>
      </c>
      <c r="AH684" s="3">
        <f t="shared" si="173"/>
        <v>1.1595883446336998E-2</v>
      </c>
      <c r="AI684" s="3">
        <f t="shared" si="174"/>
        <v>-8.5709059871224506E-4</v>
      </c>
    </row>
    <row r="685" spans="19:35" x14ac:dyDescent="0.3">
      <c r="S685" s="6">
        <v>668</v>
      </c>
      <c r="T685" s="4">
        <f t="shared" si="160"/>
        <v>334</v>
      </c>
      <c r="U685" s="3">
        <f t="shared" si="161"/>
        <v>-10269032.888734449</v>
      </c>
      <c r="V685" s="3">
        <f t="shared" si="162"/>
        <v>757750.12276786496</v>
      </c>
      <c r="W685" s="3">
        <f t="shared" si="163"/>
        <v>-28731.649760797947</v>
      </c>
      <c r="X685" s="3">
        <f t="shared" si="164"/>
        <v>2358.5030425426585</v>
      </c>
      <c r="Y685" s="3">
        <f t="shared" si="165"/>
        <v>10274665.130240485</v>
      </c>
      <c r="Z685" s="3">
        <f t="shared" si="166"/>
        <v>-749070.72832673625</v>
      </c>
      <c r="AA685" s="3">
        <f t="shared" si="167"/>
        <v>10301934.308401296</v>
      </c>
      <c r="AB685" s="3">
        <f t="shared" si="168"/>
        <v>10234665.130240485</v>
      </c>
      <c r="AC685" s="3">
        <f t="shared" si="169"/>
        <v>-746570.72832673625</v>
      </c>
      <c r="AD685" s="3">
        <f t="shared" si="170"/>
        <v>10261858.417487292</v>
      </c>
      <c r="AE685" s="3">
        <f t="shared" si="171"/>
        <v>10249665.130240485</v>
      </c>
      <c r="AF685" s="3">
        <f t="shared" si="175"/>
        <v>-771570.72832673625</v>
      </c>
      <c r="AG685" s="3">
        <f t="shared" si="172"/>
        <v>10278665.121059172</v>
      </c>
      <c r="AH685" s="3">
        <f t="shared" si="173"/>
        <v>1.1563389636549903E-2</v>
      </c>
      <c r="AI685" s="3">
        <f t="shared" si="174"/>
        <v>-8.5482120287925438E-4</v>
      </c>
    </row>
    <row r="686" spans="19:35" x14ac:dyDescent="0.3">
      <c r="S686" s="6">
        <v>669</v>
      </c>
      <c r="T686" s="4">
        <f t="shared" si="160"/>
        <v>334.5</v>
      </c>
      <c r="U686" s="3">
        <f t="shared" si="161"/>
        <v>-10283398.710724</v>
      </c>
      <c r="V686" s="3">
        <f t="shared" si="162"/>
        <v>758929.37407543091</v>
      </c>
      <c r="W686" s="3">
        <f t="shared" si="163"/>
        <v>-28727.781806964522</v>
      </c>
      <c r="X686" s="3">
        <f t="shared" si="164"/>
        <v>2358.2171048502955</v>
      </c>
      <c r="Y686" s="3">
        <f t="shared" si="165"/>
        <v>10289032.888734449</v>
      </c>
      <c r="Z686" s="3">
        <f t="shared" si="166"/>
        <v>-750250.12276786496</v>
      </c>
      <c r="AA686" s="3">
        <f t="shared" si="167"/>
        <v>10316349.792061742</v>
      </c>
      <c r="AB686" s="3">
        <f t="shared" si="168"/>
        <v>10249032.888734449</v>
      </c>
      <c r="AC686" s="3">
        <f t="shared" si="169"/>
        <v>-747750.12276786496</v>
      </c>
      <c r="AD686" s="3">
        <f t="shared" si="170"/>
        <v>10276273.90645363</v>
      </c>
      <c r="AE686" s="3">
        <f t="shared" si="171"/>
        <v>10264032.888734449</v>
      </c>
      <c r="AF686" s="3">
        <f t="shared" si="175"/>
        <v>-772750.12276786496</v>
      </c>
      <c r="AG686" s="3">
        <f t="shared" si="172"/>
        <v>10293080.874707056</v>
      </c>
      <c r="AH686" s="3">
        <f t="shared" si="173"/>
        <v>1.1531036565049512E-2</v>
      </c>
      <c r="AI686" s="3">
        <f t="shared" si="174"/>
        <v>-8.5256109998587066E-4</v>
      </c>
    </row>
    <row r="687" spans="19:35" x14ac:dyDescent="0.3">
      <c r="S687" s="6">
        <v>670</v>
      </c>
      <c r="T687" s="4">
        <f t="shared" si="160"/>
        <v>335</v>
      </c>
      <c r="U687" s="3">
        <f t="shared" si="161"/>
        <v>-10297762.598744722</v>
      </c>
      <c r="V687" s="3">
        <f t="shared" si="162"/>
        <v>760108.48241471581</v>
      </c>
      <c r="W687" s="3">
        <f t="shared" si="163"/>
        <v>-28723.91890971523</v>
      </c>
      <c r="X687" s="3">
        <f t="shared" si="164"/>
        <v>2357.9314968818003</v>
      </c>
      <c r="Y687" s="3">
        <f t="shared" si="165"/>
        <v>10303398.710724</v>
      </c>
      <c r="Z687" s="3">
        <f t="shared" si="166"/>
        <v>-751429.37407543091</v>
      </c>
      <c r="AA687" s="3">
        <f t="shared" si="167"/>
        <v>10330763.335609445</v>
      </c>
      <c r="AB687" s="3">
        <f t="shared" si="168"/>
        <v>10263398.710724</v>
      </c>
      <c r="AC687" s="3">
        <f t="shared" si="169"/>
        <v>-748929.37407543091</v>
      </c>
      <c r="AD687" s="3">
        <f t="shared" si="170"/>
        <v>10290687.4552988</v>
      </c>
      <c r="AE687" s="3">
        <f t="shared" si="171"/>
        <v>10278398.710724</v>
      </c>
      <c r="AF687" s="3">
        <f t="shared" si="175"/>
        <v>-773929.37407543091</v>
      </c>
      <c r="AG687" s="3">
        <f t="shared" si="172"/>
        <v>10307494.687491698</v>
      </c>
      <c r="AH687" s="3">
        <f t="shared" si="173"/>
        <v>1.1498823409293618E-2</v>
      </c>
      <c r="AI687" s="3">
        <f t="shared" si="174"/>
        <v>-8.5031023872201845E-4</v>
      </c>
    </row>
    <row r="688" spans="19:35" x14ac:dyDescent="0.3">
      <c r="S688" s="6">
        <v>671</v>
      </c>
      <c r="T688" s="4">
        <f t="shared" si="160"/>
        <v>335.5</v>
      </c>
      <c r="U688" s="3">
        <f t="shared" si="161"/>
        <v>-10312124.555324873</v>
      </c>
      <c r="V688" s="3">
        <f t="shared" si="162"/>
        <v>761287.44795057923</v>
      </c>
      <c r="W688" s="3">
        <f t="shared" si="163"/>
        <v>-28720.061054461414</v>
      </c>
      <c r="X688" s="3">
        <f t="shared" si="164"/>
        <v>2357.6462177967092</v>
      </c>
      <c r="Y688" s="3">
        <f t="shared" si="165"/>
        <v>10317762.598744722</v>
      </c>
      <c r="Z688" s="3">
        <f t="shared" si="166"/>
        <v>-752608.48241471581</v>
      </c>
      <c r="AA688" s="3">
        <f t="shared" si="167"/>
        <v>10345174.941578224</v>
      </c>
      <c r="AB688" s="3">
        <f t="shared" si="168"/>
        <v>10277762.598744722</v>
      </c>
      <c r="AC688" s="3">
        <f t="shared" si="169"/>
        <v>-750108.48241471581</v>
      </c>
      <c r="AD688" s="3">
        <f t="shared" si="170"/>
        <v>10305099.066556633</v>
      </c>
      <c r="AE688" s="3">
        <f t="shared" si="171"/>
        <v>10292762.598744722</v>
      </c>
      <c r="AF688" s="3">
        <f t="shared" si="175"/>
        <v>-775108.48241471581</v>
      </c>
      <c r="AG688" s="3">
        <f t="shared" si="172"/>
        <v>10321906.561950145</v>
      </c>
      <c r="AH688" s="3">
        <f t="shared" si="173"/>
        <v>1.1466749352785003E-2</v>
      </c>
      <c r="AI688" s="3">
        <f t="shared" si="174"/>
        <v>-8.4806856813334484E-4</v>
      </c>
    </row>
    <row r="689" spans="19:35" x14ac:dyDescent="0.3">
      <c r="S689" s="6">
        <v>672</v>
      </c>
      <c r="T689" s="4">
        <f t="shared" si="160"/>
        <v>336</v>
      </c>
      <c r="U689" s="3">
        <f t="shared" si="161"/>
        <v>-10326484.582985416</v>
      </c>
      <c r="V689" s="3">
        <f t="shared" si="162"/>
        <v>762466.27084746049</v>
      </c>
      <c r="W689" s="3">
        <f t="shared" si="163"/>
        <v>-28716.208226678878</v>
      </c>
      <c r="X689" s="3">
        <f t="shared" si="164"/>
        <v>2357.3612667578163</v>
      </c>
      <c r="Y689" s="3">
        <f t="shared" si="165"/>
        <v>10332124.555324873</v>
      </c>
      <c r="Z689" s="3">
        <f t="shared" si="166"/>
        <v>-753787.44795057923</v>
      </c>
      <c r="AA689" s="3">
        <f t="shared" si="167"/>
        <v>10359584.612494608</v>
      </c>
      <c r="AB689" s="3">
        <f t="shared" si="168"/>
        <v>10292124.555324873</v>
      </c>
      <c r="AC689" s="3">
        <f t="shared" si="169"/>
        <v>-751287.44795057923</v>
      </c>
      <c r="AD689" s="3">
        <f t="shared" si="170"/>
        <v>10319508.742753664</v>
      </c>
      <c r="AE689" s="3">
        <f t="shared" si="171"/>
        <v>10307124.555324873</v>
      </c>
      <c r="AF689" s="3">
        <f t="shared" si="175"/>
        <v>-776287.44795057923</v>
      </c>
      <c r="AG689" s="3">
        <f t="shared" si="172"/>
        <v>10336316.50061213</v>
      </c>
      <c r="AH689" s="3">
        <f t="shared" si="173"/>
        <v>1.1434813585018272E-2</v>
      </c>
      <c r="AI689" s="3">
        <f t="shared" si="174"/>
        <v>-8.4583603761827729E-4</v>
      </c>
    </row>
    <row r="690" spans="19:35" x14ac:dyDescent="0.3">
      <c r="S690" s="6">
        <v>673</v>
      </c>
      <c r="T690" s="4">
        <f t="shared" si="160"/>
        <v>336.5</v>
      </c>
      <c r="U690" s="3">
        <f t="shared" si="161"/>
        <v>-10340842.684240051</v>
      </c>
      <c r="V690" s="3">
        <f t="shared" si="162"/>
        <v>763644.9512693804</v>
      </c>
      <c r="W690" s="3">
        <f t="shared" si="163"/>
        <v>-28712.360411907521</v>
      </c>
      <c r="X690" s="3">
        <f t="shared" si="164"/>
        <v>2357.0766429311579</v>
      </c>
      <c r="Y690" s="3">
        <f t="shared" si="165"/>
        <v>10346484.582985416</v>
      </c>
      <c r="Z690" s="3">
        <f t="shared" si="166"/>
        <v>-754966.27084746049</v>
      </c>
      <c r="AA690" s="3">
        <f t="shared" si="167"/>
        <v>10373992.350877855</v>
      </c>
      <c r="AB690" s="3">
        <f t="shared" si="168"/>
        <v>10306484.582985416</v>
      </c>
      <c r="AC690" s="3">
        <f t="shared" si="169"/>
        <v>-752466.27084746049</v>
      </c>
      <c r="AD690" s="3">
        <f t="shared" si="170"/>
        <v>10333916.486409165</v>
      </c>
      <c r="AE690" s="3">
        <f t="shared" si="171"/>
        <v>10321484.582985416</v>
      </c>
      <c r="AF690" s="3">
        <f t="shared" si="175"/>
        <v>-777466.27084746049</v>
      </c>
      <c r="AG690" s="3">
        <f t="shared" si="172"/>
        <v>10350724.506000103</v>
      </c>
      <c r="AH690" s="3">
        <f t="shared" si="173"/>
        <v>1.1403015301426556E-2</v>
      </c>
      <c r="AI690" s="3">
        <f t="shared" si="174"/>
        <v>-8.4361259692506416E-4</v>
      </c>
    </row>
    <row r="691" spans="19:35" x14ac:dyDescent="0.3">
      <c r="S691" s="6">
        <v>674</v>
      </c>
      <c r="T691" s="4">
        <f t="shared" si="160"/>
        <v>337</v>
      </c>
      <c r="U691" s="3">
        <f t="shared" si="161"/>
        <v>-10355198.861595251</v>
      </c>
      <c r="V691" s="3">
        <f t="shared" si="162"/>
        <v>764823.48937994288</v>
      </c>
      <c r="W691" s="3">
        <f t="shared" si="163"/>
        <v>-28708.517595750938</v>
      </c>
      <c r="X691" s="3">
        <f t="shared" si="164"/>
        <v>2356.7923454859942</v>
      </c>
      <c r="Y691" s="3">
        <f t="shared" si="165"/>
        <v>10360842.684240051</v>
      </c>
      <c r="Z691" s="3">
        <f t="shared" si="166"/>
        <v>-756144.9512693804</v>
      </c>
      <c r="AA691" s="3">
        <f t="shared" si="167"/>
        <v>10388398.159239987</v>
      </c>
      <c r="AB691" s="3">
        <f t="shared" si="168"/>
        <v>10320842.684240051</v>
      </c>
      <c r="AC691" s="3">
        <f t="shared" si="169"/>
        <v>-753644.9512693804</v>
      </c>
      <c r="AD691" s="3">
        <f t="shared" si="170"/>
        <v>10348322.300035171</v>
      </c>
      <c r="AE691" s="3">
        <f t="shared" si="171"/>
        <v>10335842.684240051</v>
      </c>
      <c r="AF691" s="3">
        <f t="shared" si="175"/>
        <v>-778644.9512693804</v>
      </c>
      <c r="AG691" s="3">
        <f t="shared" si="172"/>
        <v>10365130.580629261</v>
      </c>
      <c r="AH691" s="3">
        <f t="shared" si="173"/>
        <v>1.137135370332935E-2</v>
      </c>
      <c r="AI691" s="3">
        <f t="shared" si="174"/>
        <v>-8.4139819614888482E-4</v>
      </c>
    </row>
    <row r="692" spans="19:35" x14ac:dyDescent="0.3">
      <c r="S692" s="6">
        <v>675</v>
      </c>
      <c r="T692" s="4">
        <f t="shared" si="160"/>
        <v>337.5</v>
      </c>
      <c r="U692" s="3">
        <f t="shared" si="161"/>
        <v>-10369553.117550287</v>
      </c>
      <c r="V692" s="3">
        <f t="shared" si="162"/>
        <v>766001.88534233626</v>
      </c>
      <c r="W692" s="3">
        <f t="shared" si="163"/>
        <v>-28704.679763876065</v>
      </c>
      <c r="X692" s="3">
        <f t="shared" si="164"/>
        <v>2356.5083735947942</v>
      </c>
      <c r="Y692" s="3">
        <f t="shared" si="165"/>
        <v>10375198.861595251</v>
      </c>
      <c r="Z692" s="3">
        <f t="shared" si="166"/>
        <v>-757323.48937994288</v>
      </c>
      <c r="AA692" s="3">
        <f t="shared" si="167"/>
        <v>10402802.040085835</v>
      </c>
      <c r="AB692" s="3">
        <f t="shared" si="168"/>
        <v>10335198.861595251</v>
      </c>
      <c r="AC692" s="3">
        <f t="shared" si="169"/>
        <v>-754823.48937994288</v>
      </c>
      <c r="AD692" s="3">
        <f t="shared" si="170"/>
        <v>10362726.186136518</v>
      </c>
      <c r="AE692" s="3">
        <f t="shared" si="171"/>
        <v>10350198.861595251</v>
      </c>
      <c r="AF692" s="3">
        <f t="shared" si="175"/>
        <v>-779823.48937994288</v>
      </c>
      <c r="AG692" s="3">
        <f t="shared" si="172"/>
        <v>10379534.727007581</v>
      </c>
      <c r="AH692" s="3">
        <f t="shared" si="173"/>
        <v>1.1339827997880643E-2</v>
      </c>
      <c r="AI692" s="3">
        <f t="shared" si="174"/>
        <v>-8.3919278572896919E-4</v>
      </c>
    </row>
    <row r="693" spans="19:35" x14ac:dyDescent="0.3">
      <c r="S693" s="6">
        <v>676</v>
      </c>
      <c r="T693" s="4">
        <f t="shared" si="160"/>
        <v>338</v>
      </c>
      <c r="U693" s="3">
        <f t="shared" si="161"/>
        <v>-10383905.454597268</v>
      </c>
      <c r="V693" s="3">
        <f t="shared" si="162"/>
        <v>767180.13931933546</v>
      </c>
      <c r="W693" s="3">
        <f t="shared" si="163"/>
        <v>-28700.846902012781</v>
      </c>
      <c r="X693" s="3">
        <f t="shared" si="164"/>
        <v>2356.2247264332177</v>
      </c>
      <c r="Y693" s="3">
        <f t="shared" si="165"/>
        <v>10389553.117550287</v>
      </c>
      <c r="Z693" s="3">
        <f t="shared" si="166"/>
        <v>-758501.88534233626</v>
      </c>
      <c r="AA693" s="3">
        <f t="shared" si="167"/>
        <v>10417203.995913047</v>
      </c>
      <c r="AB693" s="3">
        <f t="shared" si="168"/>
        <v>10349553.117550287</v>
      </c>
      <c r="AC693" s="3">
        <f t="shared" si="169"/>
        <v>-756001.88534233626</v>
      </c>
      <c r="AD693" s="3">
        <f t="shared" si="170"/>
        <v>10377128.147210868</v>
      </c>
      <c r="AE693" s="3">
        <f t="shared" si="171"/>
        <v>10364553.117550287</v>
      </c>
      <c r="AF693" s="3">
        <f t="shared" si="175"/>
        <v>-781001.88534233626</v>
      </c>
      <c r="AG693" s="3">
        <f t="shared" si="172"/>
        <v>10393936.94763585</v>
      </c>
      <c r="AH693" s="3">
        <f t="shared" si="173"/>
        <v>1.1308437398017585E-2</v>
      </c>
      <c r="AI693" s="3">
        <f t="shared" si="174"/>
        <v>-8.3699631644574722E-4</v>
      </c>
    </row>
    <row r="694" spans="19:35" x14ac:dyDescent="0.3">
      <c r="S694" s="6">
        <v>677</v>
      </c>
      <c r="T694" s="4">
        <f t="shared" si="160"/>
        <v>338.5</v>
      </c>
      <c r="U694" s="3">
        <f t="shared" si="161"/>
        <v>-10398255.875221165</v>
      </c>
      <c r="V694" s="3">
        <f t="shared" si="162"/>
        <v>768358.25147330295</v>
      </c>
      <c r="W694" s="3">
        <f t="shared" si="163"/>
        <v>-28697.018995953553</v>
      </c>
      <c r="X694" s="3">
        <f t="shared" si="164"/>
        <v>2355.9414031801007</v>
      </c>
      <c r="Y694" s="3">
        <f t="shared" si="165"/>
        <v>10403905.454597268</v>
      </c>
      <c r="Z694" s="3">
        <f t="shared" si="166"/>
        <v>-759680.13931933546</v>
      </c>
      <c r="AA694" s="3">
        <f t="shared" si="167"/>
        <v>10431604.029212145</v>
      </c>
      <c r="AB694" s="3">
        <f t="shared" si="168"/>
        <v>10363905.454597268</v>
      </c>
      <c r="AC694" s="3">
        <f t="shared" si="169"/>
        <v>-757180.13931933546</v>
      </c>
      <c r="AD694" s="3">
        <f t="shared" si="170"/>
        <v>10391528.185748747</v>
      </c>
      <c r="AE694" s="3">
        <f t="shared" si="171"/>
        <v>10378905.454597268</v>
      </c>
      <c r="AF694" s="3">
        <f t="shared" si="175"/>
        <v>-782180.13931933546</v>
      </c>
      <c r="AG694" s="3">
        <f t="shared" si="172"/>
        <v>10408337.245007703</v>
      </c>
      <c r="AH694" s="3">
        <f t="shared" si="173"/>
        <v>1.1277181122409542E-2</v>
      </c>
      <c r="AI694" s="3">
        <f t="shared" si="174"/>
        <v>-8.3480873941801405E-4</v>
      </c>
    </row>
    <row r="695" spans="19:35" x14ac:dyDescent="0.3">
      <c r="S695" s="6">
        <v>678</v>
      </c>
      <c r="T695" s="4">
        <f t="shared" si="160"/>
        <v>339</v>
      </c>
      <c r="U695" s="3">
        <f t="shared" si="161"/>
        <v>-10412604.381899845</v>
      </c>
      <c r="V695" s="3">
        <f t="shared" si="162"/>
        <v>769536.22196619085</v>
      </c>
      <c r="W695" s="3">
        <f t="shared" si="163"/>
        <v>-28693.196031553056</v>
      </c>
      <c r="X695" s="3">
        <f t="shared" si="164"/>
        <v>2355.6584030174381</v>
      </c>
      <c r="Y695" s="3">
        <f t="shared" si="165"/>
        <v>10418255.875221165</v>
      </c>
      <c r="Z695" s="3">
        <f t="shared" si="166"/>
        <v>-760858.25147330295</v>
      </c>
      <c r="AA695" s="3">
        <f t="shared" si="167"/>
        <v>10446002.14246653</v>
      </c>
      <c r="AB695" s="3">
        <f t="shared" si="168"/>
        <v>10378255.875221165</v>
      </c>
      <c r="AC695" s="3">
        <f t="shared" si="169"/>
        <v>-758358.25147330295</v>
      </c>
      <c r="AD695" s="3">
        <f t="shared" si="170"/>
        <v>10405926.304233577</v>
      </c>
      <c r="AE695" s="3">
        <f t="shared" si="171"/>
        <v>10393255.875221165</v>
      </c>
      <c r="AF695" s="3">
        <f t="shared" si="175"/>
        <v>-783358.25147330295</v>
      </c>
      <c r="AG695" s="3">
        <f t="shared" si="172"/>
        <v>10422735.621609645</v>
      </c>
      <c r="AH695" s="3">
        <f t="shared" si="173"/>
        <v>1.1246058395408183E-2</v>
      </c>
      <c r="AI695" s="3">
        <f t="shared" si="174"/>
        <v>-8.3263000610016118E-4</v>
      </c>
    </row>
    <row r="696" spans="19:35" x14ac:dyDescent="0.3">
      <c r="S696" s="6">
        <v>679</v>
      </c>
      <c r="T696" s="4">
        <f t="shared" si="160"/>
        <v>339.5</v>
      </c>
      <c r="U696" s="3">
        <f t="shared" si="161"/>
        <v>-10426950.977104107</v>
      </c>
      <c r="V696" s="3">
        <f t="shared" si="162"/>
        <v>770714.05095954204</v>
      </c>
      <c r="W696" s="3">
        <f t="shared" si="163"/>
        <v>-28689.377994727816</v>
      </c>
      <c r="X696" s="3">
        <f t="shared" si="164"/>
        <v>2355.3757251303673</v>
      </c>
      <c r="Y696" s="3">
        <f t="shared" si="165"/>
        <v>10432604.381899845</v>
      </c>
      <c r="Z696" s="3">
        <f t="shared" si="166"/>
        <v>-762036.22196619085</v>
      </c>
      <c r="AA696" s="3">
        <f t="shared" si="167"/>
        <v>10460398.338152537</v>
      </c>
      <c r="AB696" s="3">
        <f t="shared" si="168"/>
        <v>10392604.381899845</v>
      </c>
      <c r="AC696" s="3">
        <f t="shared" si="169"/>
        <v>-759536.22196619085</v>
      </c>
      <c r="AD696" s="3">
        <f t="shared" si="170"/>
        <v>10420322.505141698</v>
      </c>
      <c r="AE696" s="3">
        <f t="shared" si="171"/>
        <v>10407604.381899845</v>
      </c>
      <c r="AF696" s="3">
        <f t="shared" si="175"/>
        <v>-784536.22196619085</v>
      </c>
      <c r="AG696" s="3">
        <f t="shared" si="172"/>
        <v>10437132.079921085</v>
      </c>
      <c r="AH696" s="3">
        <f t="shared" si="173"/>
        <v>1.1215068446997423E-2</v>
      </c>
      <c r="AI696" s="3">
        <f t="shared" si="174"/>
        <v>-8.3046006827938376E-4</v>
      </c>
    </row>
    <row r="697" spans="19:35" x14ac:dyDescent="0.3">
      <c r="S697" s="6">
        <v>680</v>
      </c>
      <c r="T697" s="4">
        <f t="shared" si="160"/>
        <v>340</v>
      </c>
      <c r="U697" s="3">
        <f t="shared" si="161"/>
        <v>-10441295.663297703</v>
      </c>
      <c r="V697" s="3">
        <f t="shared" si="162"/>
        <v>771891.73861449223</v>
      </c>
      <c r="W697" s="3">
        <f t="shared" si="163"/>
        <v>-28685.564871455837</v>
      </c>
      <c r="X697" s="3">
        <f t="shared" si="164"/>
        <v>2355.0933687071524</v>
      </c>
      <c r="Y697" s="3">
        <f t="shared" si="165"/>
        <v>10446950.977104107</v>
      </c>
      <c r="Z697" s="3">
        <f t="shared" si="166"/>
        <v>-763214.05095954204</v>
      </c>
      <c r="AA697" s="3">
        <f t="shared" si="167"/>
        <v>10474792.618739454</v>
      </c>
      <c r="AB697" s="3">
        <f t="shared" si="168"/>
        <v>10406950.977104107</v>
      </c>
      <c r="AC697" s="3">
        <f t="shared" si="169"/>
        <v>-760714.05095954204</v>
      </c>
      <c r="AD697" s="3">
        <f t="shared" si="170"/>
        <v>10434716.790942406</v>
      </c>
      <c r="AE697" s="3">
        <f t="shared" si="171"/>
        <v>10421950.977104107</v>
      </c>
      <c r="AF697" s="3">
        <f t="shared" si="175"/>
        <v>-785714.05095954204</v>
      </c>
      <c r="AG697" s="3">
        <f t="shared" si="172"/>
        <v>10451526.622414378</v>
      </c>
      <c r="AH697" s="3">
        <f t="shared" si="173"/>
        <v>1.118421051274433E-2</v>
      </c>
      <c r="AI697" s="3">
        <f t="shared" si="174"/>
        <v>-8.2829887807295125E-4</v>
      </c>
    </row>
    <row r="698" spans="19:35" x14ac:dyDescent="0.3">
      <c r="S698" s="6">
        <v>681</v>
      </c>
      <c r="T698" s="4">
        <f t="shared" si="160"/>
        <v>340.5</v>
      </c>
      <c r="U698" s="3">
        <f t="shared" si="161"/>
        <v>-10455638.44293738</v>
      </c>
      <c r="V698" s="3">
        <f t="shared" si="162"/>
        <v>773069.28509177116</v>
      </c>
      <c r="W698" s="3">
        <f t="shared" si="163"/>
        <v>-28681.756647776248</v>
      </c>
      <c r="X698" s="3">
        <f t="shared" si="164"/>
        <v>2354.8113329391686</v>
      </c>
      <c r="Y698" s="3">
        <f t="shared" si="165"/>
        <v>10461295.663297703</v>
      </c>
      <c r="Z698" s="3">
        <f t="shared" si="166"/>
        <v>-764391.73861449223</v>
      </c>
      <c r="AA698" s="3">
        <f t="shared" si="167"/>
        <v>10489184.986689549</v>
      </c>
      <c r="AB698" s="3">
        <f t="shared" si="168"/>
        <v>10421295.663297703</v>
      </c>
      <c r="AC698" s="3">
        <f t="shared" si="169"/>
        <v>-761891.73861449223</v>
      </c>
      <c r="AD698" s="3">
        <f t="shared" si="170"/>
        <v>10449109.164097987</v>
      </c>
      <c r="AE698" s="3">
        <f t="shared" si="171"/>
        <v>10436295.663297703</v>
      </c>
      <c r="AF698" s="3">
        <f t="shared" si="175"/>
        <v>-786891.73861449223</v>
      </c>
      <c r="AG698" s="3">
        <f t="shared" si="172"/>
        <v>10465919.251554837</v>
      </c>
      <c r="AH698" s="3">
        <f t="shared" si="173"/>
        <v>1.1153483833750324E-2</v>
      </c>
      <c r="AI698" s="3">
        <f t="shared" si="174"/>
        <v>-8.2614638792548691E-4</v>
      </c>
    </row>
    <row r="699" spans="19:35" x14ac:dyDescent="0.3">
      <c r="S699" s="6">
        <v>682</v>
      </c>
      <c r="T699" s="4">
        <f t="shared" si="160"/>
        <v>341</v>
      </c>
      <c r="U699" s="3">
        <f t="shared" si="161"/>
        <v>-10469979.318472898</v>
      </c>
      <c r="V699" s="3">
        <f t="shared" si="162"/>
        <v>774246.69055170415</v>
      </c>
      <c r="W699" s="3">
        <f t="shared" si="163"/>
        <v>-28677.95330978894</v>
      </c>
      <c r="X699" s="3">
        <f t="shared" si="164"/>
        <v>2354.5296170208858</v>
      </c>
      <c r="Y699" s="3">
        <f t="shared" si="165"/>
        <v>10475638.44293738</v>
      </c>
      <c r="Z699" s="3">
        <f t="shared" si="166"/>
        <v>-765569.28509177116</v>
      </c>
      <c r="AA699" s="3">
        <f t="shared" si="167"/>
        <v>10503575.44445811</v>
      </c>
      <c r="AB699" s="3">
        <f t="shared" si="168"/>
        <v>10435638.44293738</v>
      </c>
      <c r="AC699" s="3">
        <f t="shared" si="169"/>
        <v>-763069.28509177116</v>
      </c>
      <c r="AD699" s="3">
        <f t="shared" si="170"/>
        <v>10463499.627063738</v>
      </c>
      <c r="AE699" s="3">
        <f t="shared" si="171"/>
        <v>10450638.44293738</v>
      </c>
      <c r="AF699" s="3">
        <f t="shared" si="175"/>
        <v>-788069.28509177116</v>
      </c>
      <c r="AG699" s="3">
        <f t="shared" si="172"/>
        <v>10480309.969800783</v>
      </c>
      <c r="AH699" s="3">
        <f t="shared" si="173"/>
        <v>1.1122887656602892E-2</v>
      </c>
      <c r="AI699" s="3">
        <f t="shared" si="174"/>
        <v>-8.2400255060627466E-4</v>
      </c>
    </row>
    <row r="700" spans="19:35" x14ac:dyDescent="0.3">
      <c r="S700" s="6">
        <v>683</v>
      </c>
      <c r="T700" s="4">
        <f t="shared" si="160"/>
        <v>341.5</v>
      </c>
      <c r="U700" s="3">
        <f t="shared" si="161"/>
        <v>-10484318.29234707</v>
      </c>
      <c r="V700" s="3">
        <f t="shared" si="162"/>
        <v>775423.95515421394</v>
      </c>
      <c r="W700" s="3">
        <f t="shared" si="163"/>
        <v>-28674.154843654211</v>
      </c>
      <c r="X700" s="3">
        <f t="shared" si="164"/>
        <v>2354.2482201498538</v>
      </c>
      <c r="Y700" s="3">
        <f t="shared" si="165"/>
        <v>10489979.318472898</v>
      </c>
      <c r="Z700" s="3">
        <f t="shared" si="166"/>
        <v>-766746.69055170415</v>
      </c>
      <c r="AA700" s="3">
        <f t="shared" si="167"/>
        <v>10517963.994493473</v>
      </c>
      <c r="AB700" s="3">
        <f t="shared" si="168"/>
        <v>10449979.318472898</v>
      </c>
      <c r="AC700" s="3">
        <f t="shared" si="169"/>
        <v>-764246.69055170415</v>
      </c>
      <c r="AD700" s="3">
        <f t="shared" si="170"/>
        <v>10477888.182287998</v>
      </c>
      <c r="AE700" s="3">
        <f t="shared" si="171"/>
        <v>10464979.318472898</v>
      </c>
      <c r="AF700" s="3">
        <f t="shared" si="175"/>
        <v>-789246.69055170415</v>
      </c>
      <c r="AG700" s="3">
        <f t="shared" si="172"/>
        <v>10494698.779603552</v>
      </c>
      <c r="AH700" s="3">
        <f t="shared" si="173"/>
        <v>1.1092421233328025E-2</v>
      </c>
      <c r="AI700" s="3">
        <f t="shared" si="174"/>
        <v>-8.2186731920660949E-4</v>
      </c>
    </row>
    <row r="701" spans="19:35" x14ac:dyDescent="0.3">
      <c r="S701" s="6">
        <v>684</v>
      </c>
      <c r="T701" s="4">
        <f t="shared" si="160"/>
        <v>342</v>
      </c>
      <c r="U701" s="3">
        <f t="shared" si="161"/>
        <v>-10498655.366995791</v>
      </c>
      <c r="V701" s="3">
        <f t="shared" si="162"/>
        <v>776601.07905882201</v>
      </c>
      <c r="W701" s="3">
        <f t="shared" si="163"/>
        <v>-28670.361235592412</v>
      </c>
      <c r="X701" s="3">
        <f t="shared" si="164"/>
        <v>2353.9671415266853</v>
      </c>
      <c r="Y701" s="3">
        <f t="shared" si="165"/>
        <v>10504318.29234707</v>
      </c>
      <c r="Z701" s="3">
        <f t="shared" si="166"/>
        <v>-767923.95515421394</v>
      </c>
      <c r="AA701" s="3">
        <f t="shared" si="167"/>
        <v>10532350.639237043</v>
      </c>
      <c r="AB701" s="3">
        <f t="shared" si="168"/>
        <v>10464318.29234707</v>
      </c>
      <c r="AC701" s="3">
        <f t="shared" si="169"/>
        <v>-765423.95515421394</v>
      </c>
      <c r="AD701" s="3">
        <f t="shared" si="170"/>
        <v>10492274.832212195</v>
      </c>
      <c r="AE701" s="3">
        <f t="shared" si="171"/>
        <v>10479318.29234707</v>
      </c>
      <c r="AF701" s="3">
        <f t="shared" si="175"/>
        <v>-790423.95515421394</v>
      </c>
      <c r="AG701" s="3">
        <f t="shared" si="172"/>
        <v>10509085.683407551</v>
      </c>
      <c r="AH701" s="3">
        <f t="shared" si="173"/>
        <v>1.1062083821342869E-2</v>
      </c>
      <c r="AI701" s="3">
        <f t="shared" si="174"/>
        <v>-8.1974064713715247E-4</v>
      </c>
    </row>
    <row r="702" spans="19:35" x14ac:dyDescent="0.3">
      <c r="S702" s="6">
        <v>685</v>
      </c>
      <c r="T702" s="4">
        <f t="shared" si="160"/>
        <v>342.5</v>
      </c>
      <c r="U702" s="3">
        <f t="shared" si="161"/>
        <v>-10512990.544848066</v>
      </c>
      <c r="V702" s="3">
        <f t="shared" si="162"/>
        <v>777778.06242465018</v>
      </c>
      <c r="W702" s="3">
        <f t="shared" si="163"/>
        <v>-28666.572471883603</v>
      </c>
      <c r="X702" s="3">
        <f t="shared" si="164"/>
        <v>2353.6863803550409</v>
      </c>
      <c r="Y702" s="3">
        <f t="shared" si="165"/>
        <v>10518655.366995791</v>
      </c>
      <c r="Z702" s="3">
        <f t="shared" si="166"/>
        <v>-769101.07905882201</v>
      </c>
      <c r="AA702" s="3">
        <f t="shared" si="167"/>
        <v>10546735.381123336</v>
      </c>
      <c r="AB702" s="3">
        <f t="shared" si="168"/>
        <v>10478655.366995791</v>
      </c>
      <c r="AC702" s="3">
        <f t="shared" si="169"/>
        <v>-766601.07905882201</v>
      </c>
      <c r="AD702" s="3">
        <f t="shared" si="170"/>
        <v>10506659.579270847</v>
      </c>
      <c r="AE702" s="3">
        <f t="shared" si="171"/>
        <v>10493655.366995791</v>
      </c>
      <c r="AF702" s="3">
        <f t="shared" si="175"/>
        <v>-791601.07905882201</v>
      </c>
      <c r="AG702" s="3">
        <f t="shared" si="172"/>
        <v>10523470.683650268</v>
      </c>
      <c r="AH702" s="3">
        <f t="shared" si="173"/>
        <v>1.1031874683408875E-2</v>
      </c>
      <c r="AI702" s="3">
        <f t="shared" si="174"/>
        <v>-8.1762248812531355E-4</v>
      </c>
    </row>
    <row r="703" spans="19:35" x14ac:dyDescent="0.3">
      <c r="S703" s="6">
        <v>686</v>
      </c>
      <c r="T703" s="4">
        <f t="shared" si="160"/>
        <v>343</v>
      </c>
      <c r="U703" s="3">
        <f t="shared" si="161"/>
        <v>-10527323.828326039</v>
      </c>
      <c r="V703" s="3">
        <f t="shared" si="162"/>
        <v>778954.90541042213</v>
      </c>
      <c r="W703" s="3">
        <f t="shared" si="163"/>
        <v>-28662.788538867193</v>
      </c>
      <c r="X703" s="3">
        <f t="shared" si="164"/>
        <v>2353.4059358416139</v>
      </c>
      <c r="Y703" s="3">
        <f t="shared" si="165"/>
        <v>10532990.544848066</v>
      </c>
      <c r="Z703" s="3">
        <f t="shared" si="166"/>
        <v>-770278.06242465018</v>
      </c>
      <c r="AA703" s="3">
        <f t="shared" si="167"/>
        <v>10561118.222580004</v>
      </c>
      <c r="AB703" s="3">
        <f t="shared" si="168"/>
        <v>10492990.544848066</v>
      </c>
      <c r="AC703" s="3">
        <f t="shared" si="169"/>
        <v>-767778.06242465018</v>
      </c>
      <c r="AD703" s="3">
        <f t="shared" si="170"/>
        <v>10521042.425891621</v>
      </c>
      <c r="AE703" s="3">
        <f t="shared" si="171"/>
        <v>10507990.544848066</v>
      </c>
      <c r="AF703" s="3">
        <f t="shared" si="175"/>
        <v>-792778.06242465018</v>
      </c>
      <c r="AG703" s="3">
        <f t="shared" si="172"/>
        <v>10537853.782762319</v>
      </c>
      <c r="AH703" s="3">
        <f t="shared" si="173"/>
        <v>1.10017930875854E-2</v>
      </c>
      <c r="AI703" s="3">
        <f t="shared" si="174"/>
        <v>-8.1551279621265625E-4</v>
      </c>
    </row>
    <row r="704" spans="19:35" x14ac:dyDescent="0.3">
      <c r="S704" s="6">
        <v>687</v>
      </c>
      <c r="T704" s="4">
        <f t="shared" si="160"/>
        <v>343.5</v>
      </c>
      <c r="U704" s="3">
        <f t="shared" si="161"/>
        <v>-10541655.219845023</v>
      </c>
      <c r="V704" s="3">
        <f t="shared" si="162"/>
        <v>780131.60817446478</v>
      </c>
      <c r="W704" s="3">
        <f t="shared" si="163"/>
        <v>-28659.009422941606</v>
      </c>
      <c r="X704" s="3">
        <f t="shared" si="164"/>
        <v>2353.1258071961147</v>
      </c>
      <c r="Y704" s="3">
        <f t="shared" si="165"/>
        <v>10547323.828326039</v>
      </c>
      <c r="Z704" s="3">
        <f t="shared" si="166"/>
        <v>-771454.90541042213</v>
      </c>
      <c r="AA704" s="3">
        <f t="shared" si="167"/>
        <v>10575499.166027864</v>
      </c>
      <c r="AB704" s="3">
        <f t="shared" si="168"/>
        <v>10507323.828326039</v>
      </c>
      <c r="AC704" s="3">
        <f t="shared" si="169"/>
        <v>-768954.90541042213</v>
      </c>
      <c r="AD704" s="3">
        <f t="shared" si="170"/>
        <v>10535423.374495346</v>
      </c>
      <c r="AE704" s="3">
        <f t="shared" si="171"/>
        <v>10522323.828326039</v>
      </c>
      <c r="AF704" s="3">
        <f t="shared" si="175"/>
        <v>-793954.90541042213</v>
      </c>
      <c r="AG704" s="3">
        <f t="shared" si="172"/>
        <v>10552234.983167462</v>
      </c>
      <c r="AH704" s="3">
        <f t="shared" si="173"/>
        <v>1.0971838307184194E-2</v>
      </c>
      <c r="AI704" s="3">
        <f t="shared" si="174"/>
        <v>-8.1341152575235831E-4</v>
      </c>
    </row>
    <row r="705" spans="19:35" x14ac:dyDescent="0.3">
      <c r="S705" s="6">
        <v>688</v>
      </c>
      <c r="T705" s="4">
        <f t="shared" si="160"/>
        <v>344</v>
      </c>
      <c r="U705" s="3">
        <f t="shared" si="161"/>
        <v>-10555984.721813535</v>
      </c>
      <c r="V705" s="3">
        <f t="shared" si="162"/>
        <v>781308.17087470996</v>
      </c>
      <c r="W705" s="3">
        <f t="shared" si="163"/>
        <v>-28655.235110563935</v>
      </c>
      <c r="X705" s="3">
        <f t="shared" si="164"/>
        <v>2352.8459936312561</v>
      </c>
      <c r="Y705" s="3">
        <f t="shared" si="165"/>
        <v>10561655.219845023</v>
      </c>
      <c r="Z705" s="3">
        <f t="shared" si="166"/>
        <v>-772631.60817446478</v>
      </c>
      <c r="AA705" s="3">
        <f t="shared" si="167"/>
        <v>10589878.213880926</v>
      </c>
      <c r="AB705" s="3">
        <f t="shared" si="168"/>
        <v>10521655.219845023</v>
      </c>
      <c r="AC705" s="3">
        <f t="shared" si="169"/>
        <v>-770131.60817446478</v>
      </c>
      <c r="AD705" s="3">
        <f t="shared" si="170"/>
        <v>10549802.427496044</v>
      </c>
      <c r="AE705" s="3">
        <f t="shared" si="171"/>
        <v>10536655.219845023</v>
      </c>
      <c r="AF705" s="3">
        <f t="shared" si="175"/>
        <v>-795131.60817446478</v>
      </c>
      <c r="AG705" s="3">
        <f t="shared" si="172"/>
        <v>10566614.287282635</v>
      </c>
      <c r="AH705" s="3">
        <f t="shared" si="173"/>
        <v>1.0942009620723801E-2</v>
      </c>
      <c r="AI705" s="3">
        <f t="shared" si="174"/>
        <v>-8.1131863140665689E-4</v>
      </c>
    </row>
    <row r="706" spans="19:35" x14ac:dyDescent="0.3">
      <c r="S706" s="6">
        <v>689</v>
      </c>
      <c r="T706" s="4">
        <f t="shared" si="160"/>
        <v>344.5</v>
      </c>
      <c r="U706" s="3">
        <f t="shared" si="161"/>
        <v>-10570312.336633313</v>
      </c>
      <c r="V706" s="3">
        <f t="shared" si="162"/>
        <v>782484.593668696</v>
      </c>
      <c r="W706" s="3">
        <f t="shared" si="163"/>
        <v>-28651.465588249597</v>
      </c>
      <c r="X706" s="3">
        <f t="shared" si="164"/>
        <v>2352.5664943627366</v>
      </c>
      <c r="Y706" s="3">
        <f t="shared" si="165"/>
        <v>10575984.721813535</v>
      </c>
      <c r="Z706" s="3">
        <f t="shared" si="166"/>
        <v>-773808.17087470996</v>
      </c>
      <c r="AA706" s="3">
        <f t="shared" si="167"/>
        <v>10604255.36854643</v>
      </c>
      <c r="AB706" s="3">
        <f t="shared" si="168"/>
        <v>10535984.721813535</v>
      </c>
      <c r="AC706" s="3">
        <f t="shared" si="169"/>
        <v>-771308.17087470996</v>
      </c>
      <c r="AD706" s="3">
        <f t="shared" si="170"/>
        <v>10564179.587300962</v>
      </c>
      <c r="AE706" s="3">
        <f t="shared" si="171"/>
        <v>10550984.721813535</v>
      </c>
      <c r="AF706" s="3">
        <f t="shared" si="175"/>
        <v>-796308.17087470996</v>
      </c>
      <c r="AG706" s="3">
        <f t="shared" si="172"/>
        <v>10580991.697517982</v>
      </c>
      <c r="AH706" s="3">
        <f t="shared" si="173"/>
        <v>1.0912306311884609E-2</v>
      </c>
      <c r="AI706" s="3">
        <f t="shared" si="174"/>
        <v>-8.0923406814433049E-4</v>
      </c>
    </row>
    <row r="707" spans="19:35" x14ac:dyDescent="0.3">
      <c r="S707" s="6">
        <v>690</v>
      </c>
      <c r="T707" s="4">
        <f t="shared" si="160"/>
        <v>345</v>
      </c>
      <c r="U707" s="3">
        <f t="shared" si="161"/>
        <v>-10584638.066699361</v>
      </c>
      <c r="V707" s="3">
        <f t="shared" si="162"/>
        <v>783660.87671356881</v>
      </c>
      <c r="W707" s="3">
        <f t="shared" si="163"/>
        <v>-28647.700842571998</v>
      </c>
      <c r="X707" s="3">
        <f t="shared" si="164"/>
        <v>2352.2873086092268</v>
      </c>
      <c r="Y707" s="3">
        <f t="shared" si="165"/>
        <v>10590312.336633313</v>
      </c>
      <c r="Z707" s="3">
        <f t="shared" si="166"/>
        <v>-774984.593668696</v>
      </c>
      <c r="AA707" s="3">
        <f t="shared" si="167"/>
        <v>10618630.632424859</v>
      </c>
      <c r="AB707" s="3">
        <f t="shared" si="168"/>
        <v>10550312.336633313</v>
      </c>
      <c r="AC707" s="3">
        <f t="shared" si="169"/>
        <v>-772484.593668696</v>
      </c>
      <c r="AD707" s="3">
        <f t="shared" si="170"/>
        <v>10578554.8563106</v>
      </c>
      <c r="AE707" s="3">
        <f t="shared" si="171"/>
        <v>10565312.336633313</v>
      </c>
      <c r="AF707" s="3">
        <f t="shared" si="175"/>
        <v>-797484.593668696</v>
      </c>
      <c r="AG707" s="3">
        <f t="shared" si="172"/>
        <v>10595367.216276886</v>
      </c>
      <c r="AH707" s="3">
        <f t="shared" si="173"/>
        <v>1.0882727669464486E-2</v>
      </c>
      <c r="AI707" s="3">
        <f t="shared" si="174"/>
        <v>-8.0715779123821554E-4</v>
      </c>
    </row>
    <row r="708" spans="19:35" x14ac:dyDescent="0.3">
      <c r="S708" s="6">
        <v>691</v>
      </c>
      <c r="T708" s="4">
        <f t="shared" si="160"/>
        <v>345.5</v>
      </c>
      <c r="U708" s="3">
        <f t="shared" si="161"/>
        <v>-10598961.914399965</v>
      </c>
      <c r="V708" s="3">
        <f t="shared" si="162"/>
        <v>784837.02016608394</v>
      </c>
      <c r="W708" s="3">
        <f t="shared" si="163"/>
        <v>-28643.940860162198</v>
      </c>
      <c r="X708" s="3">
        <f t="shared" si="164"/>
        <v>2352.0084355923541</v>
      </c>
      <c r="Y708" s="3">
        <f t="shared" si="165"/>
        <v>10604638.066699361</v>
      </c>
      <c r="Z708" s="3">
        <f t="shared" si="166"/>
        <v>-776160.87671356881</v>
      </c>
      <c r="AA708" s="3">
        <f t="shared" si="167"/>
        <v>10633004.007909993</v>
      </c>
      <c r="AB708" s="3">
        <f t="shared" si="168"/>
        <v>10564638.066699361</v>
      </c>
      <c r="AC708" s="3">
        <f t="shared" si="169"/>
        <v>-773660.87671356881</v>
      </c>
      <c r="AD708" s="3">
        <f t="shared" si="170"/>
        <v>10592928.236918742</v>
      </c>
      <c r="AE708" s="3">
        <f t="shared" si="171"/>
        <v>10579638.066699361</v>
      </c>
      <c r="AF708" s="3">
        <f t="shared" si="175"/>
        <v>-798660.87671356881</v>
      </c>
      <c r="AG708" s="3">
        <f t="shared" si="172"/>
        <v>10609740.845955998</v>
      </c>
      <c r="AH708" s="3">
        <f t="shared" si="173"/>
        <v>1.085327298733468E-2</v>
      </c>
      <c r="AI708" s="3">
        <f t="shared" si="174"/>
        <v>-8.0508975626273401E-4</v>
      </c>
    </row>
    <row r="709" spans="19:35" x14ac:dyDescent="0.3">
      <c r="S709" s="6">
        <v>692</v>
      </c>
      <c r="T709" s="4">
        <f t="shared" si="160"/>
        <v>346</v>
      </c>
      <c r="U709" s="3">
        <f t="shared" si="161"/>
        <v>-10613283.882116728</v>
      </c>
      <c r="V709" s="3">
        <f t="shared" si="162"/>
        <v>786013.02418260765</v>
      </c>
      <c r="W709" s="3">
        <f t="shared" si="163"/>
        <v>-28640.185627708579</v>
      </c>
      <c r="X709" s="3">
        <f t="shared" si="164"/>
        <v>2351.729874536687</v>
      </c>
      <c r="Y709" s="3">
        <f t="shared" si="165"/>
        <v>10618961.914399965</v>
      </c>
      <c r="Z709" s="3">
        <f t="shared" si="166"/>
        <v>-777337.02016608394</v>
      </c>
      <c r="AA709" s="3">
        <f t="shared" si="167"/>
        <v>10647375.497388907</v>
      </c>
      <c r="AB709" s="3">
        <f t="shared" si="168"/>
        <v>10578961.914399965</v>
      </c>
      <c r="AC709" s="3">
        <f t="shared" si="169"/>
        <v>-774837.02016608394</v>
      </c>
      <c r="AD709" s="3">
        <f t="shared" si="170"/>
        <v>10607299.731512485</v>
      </c>
      <c r="AE709" s="3">
        <f t="shared" si="171"/>
        <v>10593961.914399965</v>
      </c>
      <c r="AF709" s="3">
        <f t="shared" si="175"/>
        <v>-799837.02016608394</v>
      </c>
      <c r="AG709" s="3">
        <f t="shared" si="172"/>
        <v>10624112.588945258</v>
      </c>
      <c r="AH709" s="3">
        <f t="shared" si="173"/>
        <v>1.0823941564396443E-2</v>
      </c>
      <c r="AI709" s="3">
        <f t="shared" si="174"/>
        <v>-8.0302991909146225E-4</v>
      </c>
    </row>
    <row r="710" spans="19:35" x14ac:dyDescent="0.3">
      <c r="S710" s="6">
        <v>693</v>
      </c>
      <c r="T710" s="4">
        <f t="shared" si="160"/>
        <v>346.5</v>
      </c>
      <c r="U710" s="3">
        <f t="shared" si="161"/>
        <v>-10627603.972224597</v>
      </c>
      <c r="V710" s="3">
        <f t="shared" si="162"/>
        <v>787188.88891911844</v>
      </c>
      <c r="W710" s="3">
        <f t="shared" si="163"/>
        <v>-28636.435131956514</v>
      </c>
      <c r="X710" s="3">
        <f t="shared" si="164"/>
        <v>2351.4516246697217</v>
      </c>
      <c r="Y710" s="3">
        <f t="shared" si="165"/>
        <v>10633283.882116728</v>
      </c>
      <c r="Z710" s="3">
        <f t="shared" si="166"/>
        <v>-778513.02418260765</v>
      </c>
      <c r="AA710" s="3">
        <f t="shared" si="167"/>
        <v>10661745.103242027</v>
      </c>
      <c r="AB710" s="3">
        <f t="shared" si="168"/>
        <v>10593283.882116728</v>
      </c>
      <c r="AC710" s="3">
        <f t="shared" si="169"/>
        <v>-776013.02418260765</v>
      </c>
      <c r="AD710" s="3">
        <f t="shared" si="170"/>
        <v>10621669.342472259</v>
      </c>
      <c r="AE710" s="3">
        <f t="shared" si="171"/>
        <v>10608283.882116728</v>
      </c>
      <c r="AF710" s="3">
        <f t="shared" si="175"/>
        <v>-801013.02418260765</v>
      </c>
      <c r="AG710" s="3">
        <f t="shared" si="172"/>
        <v>10638482.447627937</v>
      </c>
      <c r="AH710" s="3">
        <f t="shared" si="173"/>
        <v>1.0794732704537607E-2</v>
      </c>
      <c r="AI710" s="3">
        <f t="shared" si="174"/>
        <v>-8.0097823589469E-4</v>
      </c>
    </row>
    <row r="711" spans="19:35" x14ac:dyDescent="0.3">
      <c r="S711" s="6">
        <v>694</v>
      </c>
      <c r="T711" s="4">
        <f t="shared" si="160"/>
        <v>347</v>
      </c>
      <c r="U711" s="3">
        <f t="shared" si="161"/>
        <v>-10641922.187091893</v>
      </c>
      <c r="V711" s="3">
        <f t="shared" si="162"/>
        <v>788364.61453120876</v>
      </c>
      <c r="W711" s="3">
        <f t="shared" si="163"/>
        <v>-28632.689359708038</v>
      </c>
      <c r="X711" s="3">
        <f t="shared" si="164"/>
        <v>2351.1736852218664</v>
      </c>
      <c r="Y711" s="3">
        <f t="shared" si="165"/>
        <v>10647603.972224597</v>
      </c>
      <c r="Z711" s="3">
        <f t="shared" si="166"/>
        <v>-779688.88891911844</v>
      </c>
      <c r="AA711" s="3">
        <f t="shared" si="167"/>
        <v>10676112.827843145</v>
      </c>
      <c r="AB711" s="3">
        <f t="shared" si="168"/>
        <v>10607603.972224597</v>
      </c>
      <c r="AC711" s="3">
        <f t="shared" si="169"/>
        <v>-777188.88891911844</v>
      </c>
      <c r="AD711" s="3">
        <f t="shared" si="170"/>
        <v>10636037.072171871</v>
      </c>
      <c r="AE711" s="3">
        <f t="shared" si="171"/>
        <v>10622603.972224597</v>
      </c>
      <c r="AF711" s="3">
        <f t="shared" si="175"/>
        <v>-802188.88891911844</v>
      </c>
      <c r="AG711" s="3">
        <f t="shared" si="172"/>
        <v>10652850.424380654</v>
      </c>
      <c r="AH711" s="3">
        <f t="shared" si="173"/>
        <v>1.0765645716590118E-2</v>
      </c>
      <c r="AI711" s="3">
        <f t="shared" si="174"/>
        <v>-7.9893466313703991E-4</v>
      </c>
    </row>
    <row r="712" spans="19:35" x14ac:dyDescent="0.3">
      <c r="S712" s="6">
        <v>695</v>
      </c>
      <c r="T712" s="4">
        <f t="shared" si="160"/>
        <v>347.5</v>
      </c>
      <c r="U712" s="3">
        <f t="shared" si="161"/>
        <v>-10656238.529080335</v>
      </c>
      <c r="V712" s="3">
        <f t="shared" si="162"/>
        <v>789540.20117408608</v>
      </c>
      <c r="W712" s="3">
        <f t="shared" si="163"/>
        <v>-28628.948297821524</v>
      </c>
      <c r="X712" s="3">
        <f t="shared" si="164"/>
        <v>2350.8960554264263</v>
      </c>
      <c r="Y712" s="3">
        <f t="shared" si="165"/>
        <v>10661922.187091893</v>
      </c>
      <c r="Z712" s="3">
        <f t="shared" si="166"/>
        <v>-780864.61453120876</v>
      </c>
      <c r="AA712" s="3">
        <f t="shared" si="167"/>
        <v>10690478.673559446</v>
      </c>
      <c r="AB712" s="3">
        <f t="shared" si="168"/>
        <v>10621922.187091893</v>
      </c>
      <c r="AC712" s="3">
        <f t="shared" si="169"/>
        <v>-778364.61453120876</v>
      </c>
      <c r="AD712" s="3">
        <f t="shared" si="170"/>
        <v>10650402.922978517</v>
      </c>
      <c r="AE712" s="3">
        <f t="shared" si="171"/>
        <v>10636922.187091893</v>
      </c>
      <c r="AF712" s="3">
        <f t="shared" si="175"/>
        <v>-803364.61453120876</v>
      </c>
      <c r="AG712" s="3">
        <f t="shared" si="172"/>
        <v>10667216.521573406</v>
      </c>
      <c r="AH712" s="3">
        <f t="shared" si="173"/>
        <v>1.0736679914287638E-2</v>
      </c>
      <c r="AI712" s="3">
        <f t="shared" si="174"/>
        <v>-7.968991575750833E-4</v>
      </c>
    </row>
    <row r="713" spans="19:35" x14ac:dyDescent="0.3">
      <c r="S713" s="6">
        <v>696</v>
      </c>
      <c r="T713" s="4">
        <f t="shared" si="160"/>
        <v>348</v>
      </c>
      <c r="U713" s="3">
        <f t="shared" si="161"/>
        <v>-10670553.000545075</v>
      </c>
      <c r="V713" s="3">
        <f t="shared" si="162"/>
        <v>790715.6490025745</v>
      </c>
      <c r="W713" s="3">
        <f t="shared" si="163"/>
        <v>-28625.211933211351</v>
      </c>
      <c r="X713" s="3">
        <f t="shared" si="164"/>
        <v>2350.6187345195904</v>
      </c>
      <c r="Y713" s="3">
        <f t="shared" si="165"/>
        <v>10676238.529080335</v>
      </c>
      <c r="Z713" s="3">
        <f t="shared" si="166"/>
        <v>-782040.20117408608</v>
      </c>
      <c r="AA713" s="3">
        <f t="shared" si="167"/>
        <v>10704842.642751543</v>
      </c>
      <c r="AB713" s="3">
        <f t="shared" si="168"/>
        <v>10636238.529080335</v>
      </c>
      <c r="AC713" s="3">
        <f t="shared" si="169"/>
        <v>-779540.20117408608</v>
      </c>
      <c r="AD713" s="3">
        <f t="shared" si="170"/>
        <v>10664766.89725282</v>
      </c>
      <c r="AE713" s="3">
        <f t="shared" si="171"/>
        <v>10651238.529080335</v>
      </c>
      <c r="AF713" s="3">
        <f t="shared" si="175"/>
        <v>-804540.20117408608</v>
      </c>
      <c r="AG713" s="3">
        <f t="shared" si="172"/>
        <v>10681580.741569605</v>
      </c>
      <c r="AH713" s="3">
        <f t="shared" si="173"/>
        <v>1.070783461622369E-2</v>
      </c>
      <c r="AI713" s="3">
        <f t="shared" si="174"/>
        <v>-7.9487167625498522E-4</v>
      </c>
    </row>
    <row r="714" spans="19:35" x14ac:dyDescent="0.3">
      <c r="S714" s="6">
        <v>697</v>
      </c>
      <c r="T714" s="4">
        <f t="shared" si="160"/>
        <v>348.5</v>
      </c>
      <c r="U714" s="3">
        <f t="shared" si="161"/>
        <v>-10684865.603834722</v>
      </c>
      <c r="V714" s="3">
        <f t="shared" si="162"/>
        <v>791890.95817111642</v>
      </c>
      <c r="W714" s="3">
        <f t="shared" si="163"/>
        <v>-28621.480252847596</v>
      </c>
      <c r="X714" s="3">
        <f t="shared" si="164"/>
        <v>2350.3417217404153</v>
      </c>
      <c r="Y714" s="3">
        <f t="shared" si="165"/>
        <v>10690553.000545075</v>
      </c>
      <c r="Z714" s="3">
        <f t="shared" si="166"/>
        <v>-783215.6490025745</v>
      </c>
      <c r="AA714" s="3">
        <f t="shared" si="167"/>
        <v>10719204.7377735</v>
      </c>
      <c r="AB714" s="3">
        <f t="shared" si="168"/>
        <v>10650553.000545075</v>
      </c>
      <c r="AC714" s="3">
        <f t="shared" si="169"/>
        <v>-780715.6490025745</v>
      </c>
      <c r="AD714" s="3">
        <f t="shared" si="170"/>
        <v>10679128.997348858</v>
      </c>
      <c r="AE714" s="3">
        <f t="shared" si="171"/>
        <v>10665553.000545075</v>
      </c>
      <c r="AF714" s="3">
        <f t="shared" si="175"/>
        <v>-805715.6490025745</v>
      </c>
      <c r="AG714" s="3">
        <f t="shared" si="172"/>
        <v>10695943.086726094</v>
      </c>
      <c r="AH714" s="3">
        <f t="shared" si="173"/>
        <v>1.0679109145810141E-2</v>
      </c>
      <c r="AI714" s="3">
        <f t="shared" si="174"/>
        <v>-7.9285217651017012E-4</v>
      </c>
    </row>
    <row r="715" spans="19:35" x14ac:dyDescent="0.3">
      <c r="S715" s="6">
        <v>698</v>
      </c>
      <c r="T715" s="4">
        <f t="shared" si="160"/>
        <v>349</v>
      </c>
      <c r="U715" s="3">
        <f t="shared" si="161"/>
        <v>-10699176.341291368</v>
      </c>
      <c r="V715" s="3">
        <f t="shared" si="162"/>
        <v>793066.12883377355</v>
      </c>
      <c r="W715" s="3">
        <f t="shared" si="163"/>
        <v>-28617.753243755709</v>
      </c>
      <c r="X715" s="3">
        <f t="shared" si="164"/>
        <v>2350.0650163308133</v>
      </c>
      <c r="Y715" s="3">
        <f t="shared" si="165"/>
        <v>10704865.603834722</v>
      </c>
      <c r="Z715" s="3">
        <f t="shared" si="166"/>
        <v>-784390.95817111642</v>
      </c>
      <c r="AA715" s="3">
        <f t="shared" si="167"/>
        <v>10733564.960972862</v>
      </c>
      <c r="AB715" s="3">
        <f t="shared" si="168"/>
        <v>10664865.603834722</v>
      </c>
      <c r="AC715" s="3">
        <f t="shared" si="169"/>
        <v>-781890.95817111642</v>
      </c>
      <c r="AD715" s="3">
        <f t="shared" si="170"/>
        <v>10693489.225614186</v>
      </c>
      <c r="AE715" s="3">
        <f t="shared" si="171"/>
        <v>10679865.603834722</v>
      </c>
      <c r="AF715" s="3">
        <f t="shared" si="175"/>
        <v>-806890.95817111642</v>
      </c>
      <c r="AG715" s="3">
        <f t="shared" si="172"/>
        <v>10710303.559393184</v>
      </c>
      <c r="AH715" s="3">
        <f t="shared" si="173"/>
        <v>1.0650502831236601E-2</v>
      </c>
      <c r="AI715" s="3">
        <f t="shared" si="174"/>
        <v>-7.9084061595904235E-4</v>
      </c>
    </row>
    <row r="716" spans="19:35" x14ac:dyDescent="0.3">
      <c r="S716" s="6">
        <v>699</v>
      </c>
      <c r="T716" s="4">
        <f t="shared" si="160"/>
        <v>349.5</v>
      </c>
      <c r="U716" s="3">
        <f t="shared" si="161"/>
        <v>-10713485.215250621</v>
      </c>
      <c r="V716" s="3">
        <f t="shared" si="162"/>
        <v>794241.16114422888</v>
      </c>
      <c r="W716" s="3">
        <f t="shared" si="163"/>
        <v>-28614.030893016192</v>
      </c>
      <c r="X716" s="3">
        <f t="shared" si="164"/>
        <v>2349.7886175355356</v>
      </c>
      <c r="Y716" s="3">
        <f t="shared" si="165"/>
        <v>10719176.341291368</v>
      </c>
      <c r="Z716" s="3">
        <f t="shared" si="166"/>
        <v>-785566.12883377355</v>
      </c>
      <c r="AA716" s="3">
        <f t="shared" si="167"/>
        <v>10747923.314690679</v>
      </c>
      <c r="AB716" s="3">
        <f t="shared" si="168"/>
        <v>10679176.341291368</v>
      </c>
      <c r="AC716" s="3">
        <f t="shared" si="169"/>
        <v>-783066.12883377355</v>
      </c>
      <c r="AD716" s="3">
        <f t="shared" si="170"/>
        <v>10707847.584389871</v>
      </c>
      <c r="AE716" s="3">
        <f t="shared" si="171"/>
        <v>10694176.341291368</v>
      </c>
      <c r="AF716" s="3">
        <f t="shared" si="175"/>
        <v>-808066.12883377355</v>
      </c>
      <c r="AG716" s="3">
        <f t="shared" si="172"/>
        <v>10724662.161914678</v>
      </c>
      <c r="AH716" s="3">
        <f t="shared" si="173"/>
        <v>1.0622015005429183E-2</v>
      </c>
      <c r="AI716" s="3">
        <f t="shared" si="174"/>
        <v>-7.8883695250265282E-4</v>
      </c>
    </row>
    <row r="717" spans="19:35" x14ac:dyDescent="0.3">
      <c r="S717" s="6">
        <v>700</v>
      </c>
      <c r="T717" s="4">
        <f t="shared" si="160"/>
        <v>350</v>
      </c>
      <c r="U717" s="3">
        <f t="shared" si="161"/>
        <v>-10727792.228041625</v>
      </c>
      <c r="V717" s="3">
        <f t="shared" si="162"/>
        <v>795416.05525578745</v>
      </c>
      <c r="W717" s="3">
        <f t="shared" si="163"/>
        <v>-28610.313187764292</v>
      </c>
      <c r="X717" s="3">
        <f t="shared" si="164"/>
        <v>2349.5125246021598</v>
      </c>
      <c r="Y717" s="3">
        <f t="shared" si="165"/>
        <v>10733485.215250621</v>
      </c>
      <c r="Z717" s="3">
        <f t="shared" si="166"/>
        <v>-786741.16114422888</v>
      </c>
      <c r="AA717" s="3">
        <f t="shared" si="167"/>
        <v>10762279.801261544</v>
      </c>
      <c r="AB717" s="3">
        <f t="shared" si="168"/>
        <v>10693485.215250621</v>
      </c>
      <c r="AC717" s="3">
        <f t="shared" si="169"/>
        <v>-784241.16114422888</v>
      </c>
      <c r="AD717" s="3">
        <f t="shared" si="170"/>
        <v>10722204.076010512</v>
      </c>
      <c r="AE717" s="3">
        <f t="shared" si="171"/>
        <v>10708485.215250621</v>
      </c>
      <c r="AF717" s="3">
        <f t="shared" si="175"/>
        <v>-809241.16114422888</v>
      </c>
      <c r="AG717" s="3">
        <f t="shared" si="172"/>
        <v>10739018.896627903</v>
      </c>
      <c r="AH717" s="3">
        <f t="shared" si="173"/>
        <v>1.0593645006010729E-2</v>
      </c>
      <c r="AI717" s="3">
        <f t="shared" si="174"/>
        <v>-7.868411443224658E-4</v>
      </c>
    </row>
    <row r="718" spans="19:35" x14ac:dyDescent="0.3">
      <c r="S718" s="6">
        <v>701</v>
      </c>
      <c r="T718" s="4">
        <f t="shared" si="160"/>
        <v>350.5</v>
      </c>
      <c r="U718" s="3">
        <f t="shared" si="161"/>
        <v>-10742097.381987095</v>
      </c>
      <c r="V718" s="3">
        <f t="shared" si="162"/>
        <v>796590.81132137834</v>
      </c>
      <c r="W718" s="3">
        <f t="shared" si="163"/>
        <v>-28606.600115189685</v>
      </c>
      <c r="X718" s="3">
        <f t="shared" si="164"/>
        <v>2349.2367367810748</v>
      </c>
      <c r="Y718" s="3">
        <f t="shared" si="165"/>
        <v>10747792.228041625</v>
      </c>
      <c r="Z718" s="3">
        <f t="shared" si="166"/>
        <v>-787916.05525578745</v>
      </c>
      <c r="AA718" s="3">
        <f t="shared" si="167"/>
        <v>10776634.423013605</v>
      </c>
      <c r="AB718" s="3">
        <f t="shared" si="168"/>
        <v>10707792.228041625</v>
      </c>
      <c r="AC718" s="3">
        <f t="shared" si="169"/>
        <v>-785416.05525578745</v>
      </c>
      <c r="AD718" s="3">
        <f t="shared" si="170"/>
        <v>10736558.702804273</v>
      </c>
      <c r="AE718" s="3">
        <f t="shared" si="171"/>
        <v>10722792.228041625</v>
      </c>
      <c r="AF718" s="3">
        <f t="shared" si="175"/>
        <v>-810416.05525578745</v>
      </c>
      <c r="AG718" s="3">
        <f t="shared" si="172"/>
        <v>10753373.765863726</v>
      </c>
      <c r="AH718" s="3">
        <f t="shared" si="173"/>
        <v>1.0565392175260929E-2</v>
      </c>
      <c r="AI718" s="3">
        <f t="shared" si="174"/>
        <v>-7.8485314987810847E-4</v>
      </c>
    </row>
    <row r="719" spans="19:35" x14ac:dyDescent="0.3">
      <c r="S719" s="6">
        <v>702</v>
      </c>
      <c r="T719" s="4">
        <f t="shared" si="160"/>
        <v>351</v>
      </c>
      <c r="U719" s="3">
        <f t="shared" si="161"/>
        <v>-10756400.679403342</v>
      </c>
      <c r="V719" s="3">
        <f t="shared" si="162"/>
        <v>797765.42949355557</v>
      </c>
      <c r="W719" s="3">
        <f t="shared" si="163"/>
        <v>-28602.891662536167</v>
      </c>
      <c r="X719" s="3">
        <f t="shared" si="164"/>
        <v>2348.9612533254676</v>
      </c>
      <c r="Y719" s="3">
        <f t="shared" si="165"/>
        <v>10762097.381987095</v>
      </c>
      <c r="Z719" s="3">
        <f t="shared" si="166"/>
        <v>-789090.81132137834</v>
      </c>
      <c r="AA719" s="3">
        <f t="shared" si="167"/>
        <v>10790987.182268605</v>
      </c>
      <c r="AB719" s="3">
        <f t="shared" si="168"/>
        <v>10722097.381987095</v>
      </c>
      <c r="AC719" s="3">
        <f t="shared" si="169"/>
        <v>-786590.81132137834</v>
      </c>
      <c r="AD719" s="3">
        <f t="shared" si="170"/>
        <v>10750911.467092905</v>
      </c>
      <c r="AE719" s="3">
        <f t="shared" si="171"/>
        <v>10737097.381987095</v>
      </c>
      <c r="AF719" s="3">
        <f t="shared" si="175"/>
        <v>-811590.81132137834</v>
      </c>
      <c r="AG719" s="3">
        <f t="shared" si="172"/>
        <v>10767726.771946594</v>
      </c>
      <c r="AH719" s="3">
        <f t="shared" si="173"/>
        <v>1.0537255860076785E-2</v>
      </c>
      <c r="AI719" s="3">
        <f t="shared" si="174"/>
        <v>-7.828729279051389E-4</v>
      </c>
    </row>
    <row r="720" spans="19:35" x14ac:dyDescent="0.3">
      <c r="S720" s="6">
        <v>703</v>
      </c>
      <c r="T720" s="4">
        <f t="shared" si="160"/>
        <v>351.5</v>
      </c>
      <c r="U720" s="3">
        <f t="shared" si="161"/>
        <v>-10770702.122600295</v>
      </c>
      <c r="V720" s="3">
        <f t="shared" si="162"/>
        <v>798939.90992450004</v>
      </c>
      <c r="W720" s="3">
        <f t="shared" si="163"/>
        <v>-28599.187817101349</v>
      </c>
      <c r="X720" s="3">
        <f t="shared" si="164"/>
        <v>2348.6860734913089</v>
      </c>
      <c r="Y720" s="3">
        <f t="shared" si="165"/>
        <v>10776400.679403342</v>
      </c>
      <c r="Z720" s="3">
        <f t="shared" si="166"/>
        <v>-790265.42949355557</v>
      </c>
      <c r="AA720" s="3">
        <f t="shared" si="167"/>
        <v>10805338.0813419</v>
      </c>
      <c r="AB720" s="3">
        <f t="shared" si="168"/>
        <v>10736400.679403342</v>
      </c>
      <c r="AC720" s="3">
        <f t="shared" si="169"/>
        <v>-787765.42949355557</v>
      </c>
      <c r="AD720" s="3">
        <f t="shared" si="170"/>
        <v>10765262.371191783</v>
      </c>
      <c r="AE720" s="3">
        <f t="shared" si="171"/>
        <v>10751400.679403342</v>
      </c>
      <c r="AF720" s="3">
        <f t="shared" si="175"/>
        <v>-812765.42949355557</v>
      </c>
      <c r="AG720" s="3">
        <f t="shared" si="172"/>
        <v>10782077.917194556</v>
      </c>
      <c r="AH720" s="3">
        <f t="shared" si="173"/>
        <v>1.0509235411933528E-2</v>
      </c>
      <c r="AI720" s="3">
        <f t="shared" si="174"/>
        <v>-7.8090043741283789E-4</v>
      </c>
    </row>
    <row r="721" spans="19:35" x14ac:dyDescent="0.3">
      <c r="S721" s="6">
        <v>704</v>
      </c>
      <c r="T721" s="4">
        <f t="shared" si="160"/>
        <v>352</v>
      </c>
      <c r="U721" s="3">
        <f t="shared" si="161"/>
        <v>-10785001.713881535</v>
      </c>
      <c r="V721" s="3">
        <f t="shared" si="162"/>
        <v>800114.2527660206</v>
      </c>
      <c r="W721" s="3">
        <f t="shared" si="163"/>
        <v>-28595.488566236349</v>
      </c>
      <c r="X721" s="3">
        <f t="shared" si="164"/>
        <v>2348.4111965373395</v>
      </c>
      <c r="Y721" s="3">
        <f t="shared" si="165"/>
        <v>10790702.122600295</v>
      </c>
      <c r="Z721" s="3">
        <f t="shared" si="166"/>
        <v>-791439.90992450004</v>
      </c>
      <c r="AA721" s="3">
        <f t="shared" si="167"/>
        <v>10819687.122542491</v>
      </c>
      <c r="AB721" s="3">
        <f t="shared" si="168"/>
        <v>10750702.122600295</v>
      </c>
      <c r="AC721" s="3">
        <f t="shared" si="169"/>
        <v>-788939.90992450004</v>
      </c>
      <c r="AD721" s="3">
        <f t="shared" si="170"/>
        <v>10779611.417409914</v>
      </c>
      <c r="AE721" s="3">
        <f t="shared" si="171"/>
        <v>10765702.122600295</v>
      </c>
      <c r="AF721" s="3">
        <f t="shared" si="175"/>
        <v>-813939.90992450004</v>
      </c>
      <c r="AG721" s="3">
        <f t="shared" si="172"/>
        <v>10796427.203919286</v>
      </c>
      <c r="AH721" s="3">
        <f t="shared" si="173"/>
        <v>1.0481330186846343E-2</v>
      </c>
      <c r="AI721" s="3">
        <f t="shared" si="174"/>
        <v>-7.7893563768205486E-4</v>
      </c>
    </row>
    <row r="722" spans="19:35" x14ac:dyDescent="0.3">
      <c r="S722" s="6">
        <v>705</v>
      </c>
      <c r="T722" s="4">
        <f t="shared" ref="T722:T785" si="176">T721+$C$4</f>
        <v>352.5</v>
      </c>
      <c r="U722" s="3">
        <f t="shared" ref="U722:U785" si="177">U721+(W721*$C$4)+(AH721*POWER($C$4,2))</f>
        <v>-10799299.455544321</v>
      </c>
      <c r="V722" s="3">
        <f t="shared" ref="V722:V785" si="178">V721+(X721*$C$4)+(AI721*POWER($C$4,2))</f>
        <v>801288.45816955529</v>
      </c>
      <c r="W722" s="3">
        <f t="shared" ref="W722:W785" si="179">W721+(AH721*T722)</f>
        <v>-28591.793897345484</v>
      </c>
      <c r="X722" s="3">
        <f t="shared" ref="X722:X785" si="180">X721+(AI721*T722)</f>
        <v>2348.1366217250566</v>
      </c>
      <c r="Y722" s="3">
        <f t="shared" ref="Y722:Y785" si="181">$C$19-U721</f>
        <v>10805001.713881535</v>
      </c>
      <c r="Z722" s="3">
        <f t="shared" ref="Z722:Z785" si="182">$C$20-V721</f>
        <v>-792614.2527660206</v>
      </c>
      <c r="AA722" s="3">
        <f t="shared" ref="AA722:AA785" si="183">SQRT(POWER(Y722,2)+POWER(Z722,2))</f>
        <v>10834034.308173053</v>
      </c>
      <c r="AB722" s="3">
        <f t="shared" ref="AB722:AB785" si="184">$F$19-U721</f>
        <v>10765001.713881535</v>
      </c>
      <c r="AC722" s="3">
        <f t="shared" ref="AC722:AC785" si="185">$F$20-V721</f>
        <v>-790114.2527660206</v>
      </c>
      <c r="AD722" s="3">
        <f t="shared" ref="AD722:AD785" si="186">SQRT(POWER(AB722,2)+POWER(AC722,2))</f>
        <v>10793958.608049987</v>
      </c>
      <c r="AE722" s="3">
        <f t="shared" ref="AE722:AE785" si="187">$I$19-U721</f>
        <v>10780001.713881535</v>
      </c>
      <c r="AF722" s="3">
        <f t="shared" si="175"/>
        <v>-815114.2527660206</v>
      </c>
      <c r="AG722" s="3">
        <f t="shared" ref="AG722:AG785" si="188">SQRT(POWER(AE722,2)+POWER(AF722,2))</f>
        <v>10810774.634426117</v>
      </c>
      <c r="AH722" s="3">
        <f t="shared" ref="AH722:AH785" si="189">($C$24*(Y722/POWER(POWER(AA722,2)+POWER($C$25,2),3/2)))+($F$24*(AB722/POWER(POWER(AD722,2)+POWER($F$25,2),3/2)))+($I$24*(AE722/POWER(POWER(AG722,2)+POWER($I$25,2),3/2)))</f>
        <v>1.0453539545331738E-2</v>
      </c>
      <c r="AI722" s="3">
        <f t="shared" ref="AI722:AI785" si="190">$C$24*(Z722/POWER(POWER(AA722,2)+POWER($C$25,2),3/2))+$F$24*(AC722/POWER(POWER(AD722,2)+POWER($F$25,2),3/2))+$I$24*(AF722/POWER(POWER(AG722,2)+POWER($I$25,2),3/2))</f>
        <v>-7.7697848826301737E-4</v>
      </c>
    </row>
    <row r="723" spans="19:35" x14ac:dyDescent="0.3">
      <c r="S723" s="6">
        <v>706</v>
      </c>
      <c r="T723" s="4">
        <f t="shared" si="176"/>
        <v>353</v>
      </c>
      <c r="U723" s="3">
        <f t="shared" si="177"/>
        <v>-10813595.349879609</v>
      </c>
      <c r="V723" s="3">
        <f t="shared" si="178"/>
        <v>802462.52628617315</v>
      </c>
      <c r="W723" s="3">
        <f t="shared" si="179"/>
        <v>-28588.103797885982</v>
      </c>
      <c r="X723" s="3">
        <f t="shared" si="180"/>
        <v>2347.8623483186998</v>
      </c>
      <c r="Y723" s="3">
        <f t="shared" si="181"/>
        <v>10819299.455544321</v>
      </c>
      <c r="Z723" s="3">
        <f t="shared" si="182"/>
        <v>-793788.45816955529</v>
      </c>
      <c r="AA723" s="3">
        <f t="shared" si="183"/>
        <v>10848379.640529955</v>
      </c>
      <c r="AB723" s="3">
        <f t="shared" si="184"/>
        <v>10779299.455544321</v>
      </c>
      <c r="AC723" s="3">
        <f t="shared" si="185"/>
        <v>-791288.45816955529</v>
      </c>
      <c r="AD723" s="3">
        <f t="shared" si="186"/>
        <v>10808303.945408385</v>
      </c>
      <c r="AE723" s="3">
        <f t="shared" si="187"/>
        <v>10794299.455544321</v>
      </c>
      <c r="AF723" s="3">
        <f t="shared" ref="AF723:AF786" si="191">$I$20-V722</f>
        <v>-816288.45816955529</v>
      </c>
      <c r="AG723" s="3">
        <f t="shared" si="188"/>
        <v>10825120.211014068</v>
      </c>
      <c r="AH723" s="3">
        <f t="shared" si="189"/>
        <v>1.0425862852369634E-2</v>
      </c>
      <c r="AI723" s="3">
        <f t="shared" si="190"/>
        <v>-7.750289489731869E-4</v>
      </c>
    </row>
    <row r="724" spans="19:35" x14ac:dyDescent="0.3">
      <c r="S724" s="6">
        <v>707</v>
      </c>
      <c r="T724" s="4">
        <f t="shared" si="176"/>
        <v>353.5</v>
      </c>
      <c r="U724" s="3">
        <f t="shared" si="177"/>
        <v>-10827889.399172086</v>
      </c>
      <c r="V724" s="3">
        <f t="shared" si="178"/>
        <v>803636.45726657531</v>
      </c>
      <c r="W724" s="3">
        <f t="shared" si="179"/>
        <v>-28584.418255367669</v>
      </c>
      <c r="X724" s="3">
        <f t="shared" si="180"/>
        <v>2347.5883755852378</v>
      </c>
      <c r="Y724" s="3">
        <f t="shared" si="181"/>
        <v>10833595.349879609</v>
      </c>
      <c r="Z724" s="3">
        <f t="shared" si="182"/>
        <v>-794962.52628617315</v>
      </c>
      <c r="AA724" s="3">
        <f t="shared" si="183"/>
        <v>10862723.121903291</v>
      </c>
      <c r="AB724" s="3">
        <f t="shared" si="184"/>
        <v>10793595.349879609</v>
      </c>
      <c r="AC724" s="3">
        <f t="shared" si="185"/>
        <v>-792462.52628617315</v>
      </c>
      <c r="AD724" s="3">
        <f t="shared" si="186"/>
        <v>10822647.431775212</v>
      </c>
      <c r="AE724" s="3">
        <f t="shared" si="187"/>
        <v>10808595.349879609</v>
      </c>
      <c r="AF724" s="3">
        <f t="shared" si="191"/>
        <v>-817462.52628617315</v>
      </c>
      <c r="AG724" s="3">
        <f t="shared" si="188"/>
        <v>10839463.935975861</v>
      </c>
      <c r="AH724" s="3">
        <f t="shared" si="189"/>
        <v>1.0398299477366174E-2</v>
      </c>
      <c r="AI724" s="3">
        <f t="shared" si="190"/>
        <v>-7.7308697989516076E-4</v>
      </c>
    </row>
    <row r="725" spans="19:35" x14ac:dyDescent="0.3">
      <c r="S725" s="6">
        <v>708</v>
      </c>
      <c r="T725" s="4">
        <f t="shared" si="176"/>
        <v>354</v>
      </c>
      <c r="U725" s="3">
        <f t="shared" si="177"/>
        <v>-10842181.605700195</v>
      </c>
      <c r="V725" s="3">
        <f t="shared" si="178"/>
        <v>804810.2512610961</v>
      </c>
      <c r="W725" s="3">
        <f t="shared" si="179"/>
        <v>-28580.737257352681</v>
      </c>
      <c r="X725" s="3">
        <f t="shared" si="180"/>
        <v>2347.3147027943551</v>
      </c>
      <c r="Y725" s="3">
        <f t="shared" si="181"/>
        <v>10847889.399172086</v>
      </c>
      <c r="Z725" s="3">
        <f t="shared" si="182"/>
        <v>-796136.45726657531</v>
      </c>
      <c r="AA725" s="3">
        <f t="shared" si="183"/>
        <v>10877064.754576903</v>
      </c>
      <c r="AB725" s="3">
        <f t="shared" si="184"/>
        <v>10807889.399172086</v>
      </c>
      <c r="AC725" s="3">
        <f t="shared" si="185"/>
        <v>-793636.45726657531</v>
      </c>
      <c r="AD725" s="3">
        <f t="shared" si="186"/>
        <v>10836989.069434322</v>
      </c>
      <c r="AE725" s="3">
        <f t="shared" si="187"/>
        <v>10822889.399172086</v>
      </c>
      <c r="AF725" s="3">
        <f t="shared" si="191"/>
        <v>-818636.45726657531</v>
      </c>
      <c r="AG725" s="3">
        <f t="shared" si="188"/>
        <v>10853805.811597953</v>
      </c>
      <c r="AH725" s="3">
        <f t="shared" si="189"/>
        <v>1.0370848794116372E-2</v>
      </c>
      <c r="AI725" s="3">
        <f t="shared" si="190"/>
        <v>-7.711525413745539E-4</v>
      </c>
    </row>
    <row r="726" spans="19:35" x14ac:dyDescent="0.3">
      <c r="S726" s="6">
        <v>709</v>
      </c>
      <c r="T726" s="4">
        <f t="shared" si="176"/>
        <v>354.5</v>
      </c>
      <c r="U726" s="3">
        <f t="shared" si="177"/>
        <v>-10856471.971736159</v>
      </c>
      <c r="V726" s="3">
        <f t="shared" si="178"/>
        <v>805983.90841970523</v>
      </c>
      <c r="W726" s="3">
        <f t="shared" si="179"/>
        <v>-28577.060791455166</v>
      </c>
      <c r="X726" s="3">
        <f t="shared" si="180"/>
        <v>2347.0413292184376</v>
      </c>
      <c r="Y726" s="3">
        <f t="shared" si="181"/>
        <v>10862181.605700195</v>
      </c>
      <c r="Z726" s="3">
        <f t="shared" si="182"/>
        <v>-797310.2512610961</v>
      </c>
      <c r="AA726" s="3">
        <f t="shared" si="183"/>
        <v>10891404.540828409</v>
      </c>
      <c r="AB726" s="3">
        <f t="shared" si="184"/>
        <v>10822181.605700195</v>
      </c>
      <c r="AC726" s="3">
        <f t="shared" si="185"/>
        <v>-794810.2512610961</v>
      </c>
      <c r="AD726" s="3">
        <f t="shared" si="186"/>
        <v>10851328.860663351</v>
      </c>
      <c r="AE726" s="3">
        <f t="shared" si="187"/>
        <v>10837181.605700195</v>
      </c>
      <c r="AF726" s="3">
        <f t="shared" si="191"/>
        <v>-819810.2512610961</v>
      </c>
      <c r="AG726" s="3">
        <f t="shared" si="188"/>
        <v>10868145.840160567</v>
      </c>
      <c r="AH726" s="3">
        <f t="shared" si="189"/>
        <v>1.0343510180767436E-2</v>
      </c>
      <c r="AI726" s="3">
        <f t="shared" si="190"/>
        <v>-7.6922559401792242E-4</v>
      </c>
    </row>
    <row r="727" spans="19:35" x14ac:dyDescent="0.3">
      <c r="S727" s="6">
        <v>710</v>
      </c>
      <c r="T727" s="4">
        <f t="shared" si="176"/>
        <v>355</v>
      </c>
      <c r="U727" s="3">
        <f t="shared" si="177"/>
        <v>-10870760.49954601</v>
      </c>
      <c r="V727" s="3">
        <f t="shared" si="178"/>
        <v>807157.42889200815</v>
      </c>
      <c r="W727" s="3">
        <f t="shared" si="179"/>
        <v>-28573.388845340993</v>
      </c>
      <c r="X727" s="3">
        <f t="shared" si="180"/>
        <v>2346.7682541325612</v>
      </c>
      <c r="Y727" s="3">
        <f t="shared" si="181"/>
        <v>10876471.971736159</v>
      </c>
      <c r="Z727" s="3">
        <f t="shared" si="182"/>
        <v>-798483.90841970523</v>
      </c>
      <c r="AA727" s="3">
        <f t="shared" si="183"/>
        <v>10905742.482929232</v>
      </c>
      <c r="AB727" s="3">
        <f t="shared" si="184"/>
        <v>10836471.971736159</v>
      </c>
      <c r="AC727" s="3">
        <f t="shared" si="185"/>
        <v>-795983.90841970523</v>
      </c>
      <c r="AD727" s="3">
        <f t="shared" si="186"/>
        <v>10865666.807733728</v>
      </c>
      <c r="AE727" s="3">
        <f t="shared" si="187"/>
        <v>10851471.971736159</v>
      </c>
      <c r="AF727" s="3">
        <f t="shared" si="191"/>
        <v>-820983.90841970523</v>
      </c>
      <c r="AG727" s="3">
        <f t="shared" si="188"/>
        <v>10882484.023937713</v>
      </c>
      <c r="AH727" s="3">
        <f t="shared" si="189"/>
        <v>1.0316283019782001E-2</v>
      </c>
      <c r="AI727" s="3">
        <f t="shared" si="190"/>
        <v>-7.6730609869067482E-4</v>
      </c>
    </row>
    <row r="728" spans="19:35" x14ac:dyDescent="0.3">
      <c r="S728" s="6">
        <v>711</v>
      </c>
      <c r="T728" s="4">
        <f t="shared" si="176"/>
        <v>355.5</v>
      </c>
      <c r="U728" s="3">
        <f t="shared" si="177"/>
        <v>-10885047.191389609</v>
      </c>
      <c r="V728" s="3">
        <f t="shared" si="178"/>
        <v>808330.81282724789</v>
      </c>
      <c r="W728" s="3">
        <f t="shared" si="179"/>
        <v>-28569.721406727462</v>
      </c>
      <c r="X728" s="3">
        <f t="shared" si="180"/>
        <v>2346.4954768144767</v>
      </c>
      <c r="Y728" s="3">
        <f t="shared" si="181"/>
        <v>10890760.49954601</v>
      </c>
      <c r="Z728" s="3">
        <f t="shared" si="182"/>
        <v>-799657.42889200815</v>
      </c>
      <c r="AA728" s="3">
        <f t="shared" si="183"/>
        <v>10920078.58314462</v>
      </c>
      <c r="AB728" s="3">
        <f t="shared" si="184"/>
        <v>10850760.49954601</v>
      </c>
      <c r="AC728" s="3">
        <f t="shared" si="185"/>
        <v>-797157.42889200815</v>
      </c>
      <c r="AD728" s="3">
        <f t="shared" si="186"/>
        <v>10880002.912910718</v>
      </c>
      <c r="AE728" s="3">
        <f t="shared" si="187"/>
        <v>10865760.49954601</v>
      </c>
      <c r="AF728" s="3">
        <f t="shared" si="191"/>
        <v>-822157.42889200815</v>
      </c>
      <c r="AG728" s="3">
        <f t="shared" si="188"/>
        <v>10896820.365197212</v>
      </c>
      <c r="AH728" s="3">
        <f t="shared" si="189"/>
        <v>1.0289166697902672E-2</v>
      </c>
      <c r="AI728" s="3">
        <f t="shared" si="190"/>
        <v>-7.6539401651507162E-4</v>
      </c>
    </row>
    <row r="729" spans="19:35" x14ac:dyDescent="0.3">
      <c r="S729" s="6">
        <v>712</v>
      </c>
      <c r="T729" s="4">
        <f t="shared" si="176"/>
        <v>356</v>
      </c>
      <c r="U729" s="3">
        <f t="shared" si="177"/>
        <v>-10899332.049520681</v>
      </c>
      <c r="V729" s="3">
        <f t="shared" si="178"/>
        <v>809504.06037430663</v>
      </c>
      <c r="W729" s="3">
        <f t="shared" si="179"/>
        <v>-28566.058463383008</v>
      </c>
      <c r="X729" s="3">
        <f t="shared" si="180"/>
        <v>2346.2229965445972</v>
      </c>
      <c r="Y729" s="3">
        <f t="shared" si="181"/>
        <v>10905047.191389609</v>
      </c>
      <c r="Z729" s="3">
        <f t="shared" si="182"/>
        <v>-800830.81282724789</v>
      </c>
      <c r="AA729" s="3">
        <f t="shared" si="183"/>
        <v>10934412.843733676</v>
      </c>
      <c r="AB729" s="3">
        <f t="shared" si="184"/>
        <v>10865047.191389609</v>
      </c>
      <c r="AC729" s="3">
        <f t="shared" si="185"/>
        <v>-798330.81282724789</v>
      </c>
      <c r="AD729" s="3">
        <f t="shared" si="186"/>
        <v>10894337.178453431</v>
      </c>
      <c r="AE729" s="3">
        <f t="shared" si="187"/>
        <v>10880047.191389609</v>
      </c>
      <c r="AF729" s="3">
        <f t="shared" si="191"/>
        <v>-823330.81282724789</v>
      </c>
      <c r="AG729" s="3">
        <f t="shared" si="188"/>
        <v>10911154.866200723</v>
      </c>
      <c r="AH729" s="3">
        <f t="shared" si="189"/>
        <v>1.0262160606115789E-2</v>
      </c>
      <c r="AI729" s="3">
        <f t="shared" si="190"/>
        <v>-7.6348930886816001E-4</v>
      </c>
    </row>
    <row r="730" spans="19:35" x14ac:dyDescent="0.3">
      <c r="S730" s="6">
        <v>713</v>
      </c>
      <c r="T730" s="4">
        <f t="shared" si="176"/>
        <v>356.5</v>
      </c>
      <c r="U730" s="3">
        <f t="shared" si="177"/>
        <v>-10913615.076186832</v>
      </c>
      <c r="V730" s="3">
        <f t="shared" si="178"/>
        <v>810677.17168170656</v>
      </c>
      <c r="W730" s="3">
        <f t="shared" si="179"/>
        <v>-28562.400003126928</v>
      </c>
      <c r="X730" s="3">
        <f t="shared" si="180"/>
        <v>2345.9508126059859</v>
      </c>
      <c r="Y730" s="3">
        <f t="shared" si="181"/>
        <v>10919332.049520681</v>
      </c>
      <c r="Z730" s="3">
        <f t="shared" si="182"/>
        <v>-802004.06037430663</v>
      </c>
      <c r="AA730" s="3">
        <f t="shared" si="183"/>
        <v>10948745.266949378</v>
      </c>
      <c r="AB730" s="3">
        <f t="shared" si="184"/>
        <v>10879332.049520681</v>
      </c>
      <c r="AC730" s="3">
        <f t="shared" si="185"/>
        <v>-799504.06037430663</v>
      </c>
      <c r="AD730" s="3">
        <f t="shared" si="186"/>
        <v>10908669.606614862</v>
      </c>
      <c r="AE730" s="3">
        <f t="shared" si="187"/>
        <v>10894332.049520681</v>
      </c>
      <c r="AF730" s="3">
        <f t="shared" si="191"/>
        <v>-824504.06037430663</v>
      </c>
      <c r="AG730" s="3">
        <f t="shared" si="188"/>
        <v>10925487.529203774</v>
      </c>
      <c r="AH730" s="3">
        <f t="shared" si="189"/>
        <v>1.0235264139616312E-2</v>
      </c>
      <c r="AI730" s="3">
        <f t="shared" si="190"/>
        <v>-7.6159193737978473E-4</v>
      </c>
    </row>
    <row r="731" spans="19:35" x14ac:dyDescent="0.3">
      <c r="S731" s="6">
        <v>714</v>
      </c>
      <c r="T731" s="4">
        <f t="shared" si="176"/>
        <v>357</v>
      </c>
      <c r="U731" s="3">
        <f t="shared" si="177"/>
        <v>-10927896.27362958</v>
      </c>
      <c r="V731" s="3">
        <f t="shared" si="178"/>
        <v>811850.14689761156</v>
      </c>
      <c r="W731" s="3">
        <f t="shared" si="179"/>
        <v>-28558.746013829084</v>
      </c>
      <c r="X731" s="3">
        <f t="shared" si="180"/>
        <v>2345.6789242843415</v>
      </c>
      <c r="Y731" s="3">
        <f t="shared" si="181"/>
        <v>10933615.076186832</v>
      </c>
      <c r="Z731" s="3">
        <f t="shared" si="182"/>
        <v>-803177.17168170656</v>
      </c>
      <c r="AA731" s="3">
        <f t="shared" si="183"/>
        <v>10963075.855038613</v>
      </c>
      <c r="AB731" s="3">
        <f t="shared" si="184"/>
        <v>10893615.076186832</v>
      </c>
      <c r="AC731" s="3">
        <f t="shared" si="185"/>
        <v>-800677.17168170656</v>
      </c>
      <c r="AD731" s="3">
        <f t="shared" si="186"/>
        <v>10923000.199641911</v>
      </c>
      <c r="AE731" s="3">
        <f t="shared" si="187"/>
        <v>10908615.076186832</v>
      </c>
      <c r="AF731" s="3">
        <f t="shared" si="191"/>
        <v>-825677.17168170656</v>
      </c>
      <c r="AG731" s="3">
        <f t="shared" si="188"/>
        <v>10939818.356455784</v>
      </c>
      <c r="AH731" s="3">
        <f t="shared" si="189"/>
        <v>1.0208476697772875E-2</v>
      </c>
      <c r="AI731" s="3">
        <f t="shared" si="190"/>
        <v>-7.5970186393060468E-4</v>
      </c>
    </row>
    <row r="732" spans="19:35" x14ac:dyDescent="0.3">
      <c r="S732" s="6">
        <v>715</v>
      </c>
      <c r="T732" s="4">
        <f t="shared" si="176"/>
        <v>357.5</v>
      </c>
      <c r="U732" s="3">
        <f t="shared" si="177"/>
        <v>-10942175.644084373</v>
      </c>
      <c r="V732" s="3">
        <f t="shared" si="178"/>
        <v>813022.98616982833</v>
      </c>
      <c r="W732" s="3">
        <f t="shared" si="179"/>
        <v>-28555.09648340963</v>
      </c>
      <c r="X732" s="3">
        <f t="shared" si="180"/>
        <v>2345.4073308679863</v>
      </c>
      <c r="Y732" s="3">
        <f t="shared" si="181"/>
        <v>10947896.27362958</v>
      </c>
      <c r="Z732" s="3">
        <f t="shared" si="182"/>
        <v>-804350.14689761156</v>
      </c>
      <c r="AA732" s="3">
        <f t="shared" si="183"/>
        <v>10977404.610242197</v>
      </c>
      <c r="AB732" s="3">
        <f t="shared" si="184"/>
        <v>10907896.27362958</v>
      </c>
      <c r="AC732" s="3">
        <f t="shared" si="185"/>
        <v>-801850.14689761156</v>
      </c>
      <c r="AD732" s="3">
        <f t="shared" si="186"/>
        <v>10937328.959775407</v>
      </c>
      <c r="AE732" s="3">
        <f t="shared" si="187"/>
        <v>10922896.27362958</v>
      </c>
      <c r="AF732" s="3">
        <f t="shared" si="191"/>
        <v>-826850.14689761156</v>
      </c>
      <c r="AG732" s="3">
        <f t="shared" si="188"/>
        <v>10954147.350200085</v>
      </c>
      <c r="AH732" s="3">
        <f t="shared" si="189"/>
        <v>1.0181797684092803E-2</v>
      </c>
      <c r="AI732" s="3">
        <f t="shared" si="190"/>
        <v>-7.5781905065009975E-4</v>
      </c>
    </row>
    <row r="733" spans="19:35" x14ac:dyDescent="0.3">
      <c r="S733" s="6">
        <v>716</v>
      </c>
      <c r="T733" s="4">
        <f t="shared" si="176"/>
        <v>358</v>
      </c>
      <c r="U733" s="3">
        <f t="shared" si="177"/>
        <v>-10956453.189780628</v>
      </c>
      <c r="V733" s="3">
        <f t="shared" si="178"/>
        <v>814195.68964580761</v>
      </c>
      <c r="W733" s="3">
        <f t="shared" si="179"/>
        <v>-28551.451399838727</v>
      </c>
      <c r="X733" s="3">
        <f t="shared" si="180"/>
        <v>2345.1360316478535</v>
      </c>
      <c r="Y733" s="3">
        <f t="shared" si="181"/>
        <v>10962175.644084373</v>
      </c>
      <c r="Z733" s="3">
        <f t="shared" si="182"/>
        <v>-805522.98616982833</v>
      </c>
      <c r="AA733" s="3">
        <f t="shared" si="183"/>
        <v>10991731.534794899</v>
      </c>
      <c r="AB733" s="3">
        <f t="shared" si="184"/>
        <v>10922175.644084373</v>
      </c>
      <c r="AC733" s="3">
        <f t="shared" si="185"/>
        <v>-803022.98616982833</v>
      </c>
      <c r="AD733" s="3">
        <f t="shared" si="186"/>
        <v>10951655.889250128</v>
      </c>
      <c r="AE733" s="3">
        <f t="shared" si="187"/>
        <v>10937175.644084373</v>
      </c>
      <c r="AF733" s="3">
        <f t="shared" si="191"/>
        <v>-828022.98616982833</v>
      </c>
      <c r="AG733" s="3">
        <f t="shared" si="188"/>
        <v>10968474.51267395</v>
      </c>
      <c r="AH733" s="3">
        <f t="shared" si="189"/>
        <v>1.0155226506187998E-2</v>
      </c>
      <c r="AI733" s="3">
        <f t="shared" si="190"/>
        <v>-7.5594345991463418E-4</v>
      </c>
    </row>
    <row r="734" spans="19:35" x14ac:dyDescent="0.3">
      <c r="S734" s="6">
        <v>717</v>
      </c>
      <c r="T734" s="4">
        <f t="shared" si="176"/>
        <v>358.5</v>
      </c>
      <c r="U734" s="3">
        <f t="shared" si="177"/>
        <v>-10970728.912941743</v>
      </c>
      <c r="V734" s="3">
        <f t="shared" si="178"/>
        <v>815368.25747264572</v>
      </c>
      <c r="W734" s="3">
        <f t="shared" si="179"/>
        <v>-28547.810751136258</v>
      </c>
      <c r="X734" s="3">
        <f t="shared" si="180"/>
        <v>2344.8650259174742</v>
      </c>
      <c r="Y734" s="3">
        <f t="shared" si="181"/>
        <v>10976453.189780628</v>
      </c>
      <c r="Z734" s="3">
        <f t="shared" si="182"/>
        <v>-806695.68964580761</v>
      </c>
      <c r="AA734" s="3">
        <f t="shared" si="183"/>
        <v>11006056.630925467</v>
      </c>
      <c r="AB734" s="3">
        <f t="shared" si="184"/>
        <v>10936453.189780628</v>
      </c>
      <c r="AC734" s="3">
        <f t="shared" si="185"/>
        <v>-804195.68964580761</v>
      </c>
      <c r="AD734" s="3">
        <f t="shared" si="186"/>
        <v>10965980.990294838</v>
      </c>
      <c r="AE734" s="3">
        <f t="shared" si="187"/>
        <v>10951453.189780628</v>
      </c>
      <c r="AF734" s="3">
        <f t="shared" si="191"/>
        <v>-829195.68964580761</v>
      </c>
      <c r="AG734" s="3">
        <f t="shared" si="188"/>
        <v>10982799.846108617</v>
      </c>
      <c r="AH734" s="3">
        <f t="shared" si="189"/>
        <v>1.0128762575740972E-2</v>
      </c>
      <c r="AI734" s="3">
        <f t="shared" si="190"/>
        <v>-7.5407505434552449E-4</v>
      </c>
    </row>
    <row r="735" spans="19:35" x14ac:dyDescent="0.3">
      <c r="S735" s="6">
        <v>718</v>
      </c>
      <c r="T735" s="4">
        <f t="shared" si="176"/>
        <v>359</v>
      </c>
      <c r="U735" s="3">
        <f t="shared" si="177"/>
        <v>-10985002.815785119</v>
      </c>
      <c r="V735" s="3">
        <f t="shared" si="178"/>
        <v>816540.68979708571</v>
      </c>
      <c r="W735" s="3">
        <f t="shared" si="179"/>
        <v>-28544.174525371567</v>
      </c>
      <c r="X735" s="3">
        <f t="shared" si="180"/>
        <v>2344.594312972964</v>
      </c>
      <c r="Y735" s="3">
        <f t="shared" si="181"/>
        <v>10990728.912941743</v>
      </c>
      <c r="Z735" s="3">
        <f t="shared" si="182"/>
        <v>-807868.25747264572</v>
      </c>
      <c r="AA735" s="3">
        <f t="shared" si="183"/>
        <v>11020379.900856661</v>
      </c>
      <c r="AB735" s="3">
        <f t="shared" si="184"/>
        <v>10950728.912941743</v>
      </c>
      <c r="AC735" s="3">
        <f t="shared" si="185"/>
        <v>-805368.25747264572</v>
      </c>
      <c r="AD735" s="3">
        <f t="shared" si="186"/>
        <v>10980304.265132308</v>
      </c>
      <c r="AE735" s="3">
        <f t="shared" si="187"/>
        <v>10965728.912941743</v>
      </c>
      <c r="AF735" s="3">
        <f t="shared" si="191"/>
        <v>-830368.25747264572</v>
      </c>
      <c r="AG735" s="3">
        <f t="shared" si="188"/>
        <v>10997123.352729324</v>
      </c>
      <c r="AH735" s="3">
        <f t="shared" si="189"/>
        <v>1.0102405308471094E-2</v>
      </c>
      <c r="AI735" s="3">
        <f t="shared" si="190"/>
        <v>-7.5221379680711806E-4</v>
      </c>
    </row>
    <row r="736" spans="19:35" x14ac:dyDescent="0.3">
      <c r="S736" s="6">
        <v>719</v>
      </c>
      <c r="T736" s="4">
        <f t="shared" si="176"/>
        <v>359.5</v>
      </c>
      <c r="U736" s="3">
        <f t="shared" si="177"/>
        <v>-10999274.900522204</v>
      </c>
      <c r="V736" s="3">
        <f t="shared" si="178"/>
        <v>817712.98676551867</v>
      </c>
      <c r="W736" s="3">
        <f t="shared" si="179"/>
        <v>-28540.542710663172</v>
      </c>
      <c r="X736" s="3">
        <f t="shared" si="180"/>
        <v>2344.3238921130119</v>
      </c>
      <c r="Y736" s="3">
        <f t="shared" si="181"/>
        <v>11005002.815785119</v>
      </c>
      <c r="Z736" s="3">
        <f t="shared" si="182"/>
        <v>-809040.68979708571</v>
      </c>
      <c r="AA736" s="3">
        <f t="shared" si="183"/>
        <v>11034701.346805258</v>
      </c>
      <c r="AB736" s="3">
        <f t="shared" si="184"/>
        <v>10965002.815785119</v>
      </c>
      <c r="AC736" s="3">
        <f t="shared" si="185"/>
        <v>-806540.68979708571</v>
      </c>
      <c r="AD736" s="3">
        <f t="shared" si="186"/>
        <v>10994625.715979328</v>
      </c>
      <c r="AE736" s="3">
        <f t="shared" si="187"/>
        <v>10980002.815785119</v>
      </c>
      <c r="AF736" s="3">
        <f t="shared" si="191"/>
        <v>-831540.68979708571</v>
      </c>
      <c r="AG736" s="3">
        <f t="shared" si="188"/>
        <v>11011445.03475531</v>
      </c>
      <c r="AH736" s="3">
        <f t="shared" si="189"/>
        <v>1.0076154124101075E-2</v>
      </c>
      <c r="AI736" s="3">
        <f t="shared" si="190"/>
        <v>-7.5035965040488027E-4</v>
      </c>
    </row>
    <row r="737" spans="19:35" x14ac:dyDescent="0.3">
      <c r="S737" s="6">
        <v>720</v>
      </c>
      <c r="T737" s="4">
        <f t="shared" si="176"/>
        <v>360</v>
      </c>
      <c r="U737" s="3">
        <f t="shared" si="177"/>
        <v>-11013545.169358496</v>
      </c>
      <c r="V737" s="3">
        <f t="shared" si="178"/>
        <v>818885.14852398529</v>
      </c>
      <c r="W737" s="3">
        <f t="shared" si="179"/>
        <v>-28536.915295178496</v>
      </c>
      <c r="X737" s="3">
        <f t="shared" si="180"/>
        <v>2344.0537626388659</v>
      </c>
      <c r="Y737" s="3">
        <f t="shared" si="181"/>
        <v>11019274.900522204</v>
      </c>
      <c r="Z737" s="3">
        <f t="shared" si="182"/>
        <v>-810212.98676551867</v>
      </c>
      <c r="AA737" s="3">
        <f t="shared" si="183"/>
        <v>11049020.970982095</v>
      </c>
      <c r="AB737" s="3">
        <f t="shared" si="184"/>
        <v>10979274.900522204</v>
      </c>
      <c r="AC737" s="3">
        <f t="shared" si="185"/>
        <v>-807712.98676551867</v>
      </c>
      <c r="AD737" s="3">
        <f t="shared" si="186"/>
        <v>11008945.345046751</v>
      </c>
      <c r="AE737" s="3">
        <f t="shared" si="187"/>
        <v>10994274.900522204</v>
      </c>
      <c r="AF737" s="3">
        <f t="shared" si="191"/>
        <v>-832712.98676551867</v>
      </c>
      <c r="AG737" s="3">
        <f t="shared" si="188"/>
        <v>11025764.894399865</v>
      </c>
      <c r="AH737" s="3">
        <f t="shared" si="189"/>
        <v>1.0050008446324253E-2</v>
      </c>
      <c r="AI737" s="3">
        <f t="shared" si="190"/>
        <v>-7.4851257848353593E-4</v>
      </c>
    </row>
    <row r="738" spans="19:35" x14ac:dyDescent="0.3">
      <c r="S738" s="6">
        <v>721</v>
      </c>
      <c r="T738" s="4">
        <f t="shared" si="176"/>
        <v>360.5</v>
      </c>
      <c r="U738" s="3">
        <f t="shared" si="177"/>
        <v>-11027813.624493584</v>
      </c>
      <c r="V738" s="3">
        <f t="shared" si="178"/>
        <v>820057.17521817656</v>
      </c>
      <c r="W738" s="3">
        <f t="shared" si="179"/>
        <v>-28533.292267133598</v>
      </c>
      <c r="X738" s="3">
        <f t="shared" si="180"/>
        <v>2343.7839238543224</v>
      </c>
      <c r="Y738" s="3">
        <f t="shared" si="181"/>
        <v>11033545.169358496</v>
      </c>
      <c r="Z738" s="3">
        <f t="shared" si="182"/>
        <v>-811385.14852398529</v>
      </c>
      <c r="AA738" s="3">
        <f t="shared" si="183"/>
        <v>11063338.775592091</v>
      </c>
      <c r="AB738" s="3">
        <f t="shared" si="184"/>
        <v>10993545.169358496</v>
      </c>
      <c r="AC738" s="3">
        <f t="shared" si="185"/>
        <v>-808885.14852398529</v>
      </c>
      <c r="AD738" s="3">
        <f t="shared" si="186"/>
        <v>11023263.154539503</v>
      </c>
      <c r="AE738" s="3">
        <f t="shared" si="187"/>
        <v>11008545.169358496</v>
      </c>
      <c r="AF738" s="3">
        <f t="shared" si="191"/>
        <v>-833885.14852398529</v>
      </c>
      <c r="AG738" s="3">
        <f t="shared" si="188"/>
        <v>11040082.93387034</v>
      </c>
      <c r="AH738" s="3">
        <f t="shared" si="189"/>
        <v>1.0023967702771639E-2</v>
      </c>
      <c r="AI738" s="3">
        <f t="shared" si="190"/>
        <v>-7.4667254462518673E-4</v>
      </c>
    </row>
    <row r="739" spans="19:35" x14ac:dyDescent="0.3">
      <c r="S739" s="6">
        <v>722</v>
      </c>
      <c r="T739" s="4">
        <f t="shared" si="176"/>
        <v>361</v>
      </c>
      <c r="U739" s="3">
        <f t="shared" si="177"/>
        <v>-11042080.268121159</v>
      </c>
      <c r="V739" s="3">
        <f t="shared" si="178"/>
        <v>821229.06699343561</v>
      </c>
      <c r="W739" s="3">
        <f t="shared" si="179"/>
        <v>-28529.673614792897</v>
      </c>
      <c r="X739" s="3">
        <f t="shared" si="180"/>
        <v>2343.5143750657126</v>
      </c>
      <c r="Y739" s="3">
        <f t="shared" si="181"/>
        <v>11047813.624493584</v>
      </c>
      <c r="Z739" s="3">
        <f t="shared" si="182"/>
        <v>-812557.17521817656</v>
      </c>
      <c r="AA739" s="3">
        <f t="shared" si="183"/>
        <v>11077654.762834262</v>
      </c>
      <c r="AB739" s="3">
        <f t="shared" si="184"/>
        <v>11007813.624493584</v>
      </c>
      <c r="AC739" s="3">
        <f t="shared" si="185"/>
        <v>-810057.17521817656</v>
      </c>
      <c r="AD739" s="3">
        <f t="shared" si="186"/>
        <v>11037579.146656618</v>
      </c>
      <c r="AE739" s="3">
        <f t="shared" si="187"/>
        <v>11022813.624493584</v>
      </c>
      <c r="AF739" s="3">
        <f t="shared" si="191"/>
        <v>-835057.17521817656</v>
      </c>
      <c r="AG739" s="3">
        <f t="shared" si="188"/>
        <v>11054399.155368181</v>
      </c>
      <c r="AH739" s="3">
        <f t="shared" si="189"/>
        <v>9.9980313249796969E-3</v>
      </c>
      <c r="AI739" s="3">
        <f t="shared" si="190"/>
        <v>-7.4483951264747456E-4</v>
      </c>
    </row>
    <row r="740" spans="19:35" x14ac:dyDescent="0.3">
      <c r="S740" s="6">
        <v>723</v>
      </c>
      <c r="T740" s="4">
        <f t="shared" si="176"/>
        <v>361.5</v>
      </c>
      <c r="U740" s="3">
        <f t="shared" si="177"/>
        <v>-11056345.102429047</v>
      </c>
      <c r="V740" s="3">
        <f t="shared" si="178"/>
        <v>822400.82399475854</v>
      </c>
      <c r="W740" s="3">
        <f t="shared" si="179"/>
        <v>-28526.059326468916</v>
      </c>
      <c r="X740" s="3">
        <f t="shared" si="180"/>
        <v>2343.2451155818903</v>
      </c>
      <c r="Y740" s="3">
        <f t="shared" si="181"/>
        <v>11062080.268121159</v>
      </c>
      <c r="Z740" s="3">
        <f t="shared" si="182"/>
        <v>-813729.06699343561</v>
      </c>
      <c r="AA740" s="3">
        <f t="shared" si="183"/>
        <v>11091968.934901752</v>
      </c>
      <c r="AB740" s="3">
        <f t="shared" si="184"/>
        <v>11022080.268121159</v>
      </c>
      <c r="AC740" s="3">
        <f t="shared" si="185"/>
        <v>-811229.06699343561</v>
      </c>
      <c r="AD740" s="3">
        <f t="shared" si="186"/>
        <v>11051893.323591249</v>
      </c>
      <c r="AE740" s="3">
        <f t="shared" si="187"/>
        <v>11037080.268121159</v>
      </c>
      <c r="AF740" s="3">
        <f t="shared" si="191"/>
        <v>-836229.06699343561</v>
      </c>
      <c r="AG740" s="3">
        <f t="shared" si="188"/>
        <v>11068713.561088936</v>
      </c>
      <c r="AH740" s="3">
        <f t="shared" si="189"/>
        <v>9.9721987483580438E-3</v>
      </c>
      <c r="AI740" s="3">
        <f t="shared" si="190"/>
        <v>-7.4301344660173611E-4</v>
      </c>
    </row>
    <row r="741" spans="19:35" x14ac:dyDescent="0.3">
      <c r="S741" s="6">
        <v>724</v>
      </c>
      <c r="T741" s="4">
        <f t="shared" si="176"/>
        <v>362</v>
      </c>
      <c r="U741" s="3">
        <f t="shared" si="177"/>
        <v>-11070608.129599232</v>
      </c>
      <c r="V741" s="3">
        <f t="shared" si="178"/>
        <v>823572.44636679615</v>
      </c>
      <c r="W741" s="3">
        <f t="shared" si="179"/>
        <v>-28522.449390522012</v>
      </c>
      <c r="X741" s="3">
        <f t="shared" si="180"/>
        <v>2342.9761447142205</v>
      </c>
      <c r="Y741" s="3">
        <f t="shared" si="181"/>
        <v>11076345.102429047</v>
      </c>
      <c r="Z741" s="3">
        <f t="shared" si="182"/>
        <v>-814900.82399475854</v>
      </c>
      <c r="AA741" s="3">
        <f t="shared" si="183"/>
        <v>11106281.293981856</v>
      </c>
      <c r="AB741" s="3">
        <f t="shared" si="184"/>
        <v>11036345.102429047</v>
      </c>
      <c r="AC741" s="3">
        <f t="shared" si="185"/>
        <v>-812400.82399475854</v>
      </c>
      <c r="AD741" s="3">
        <f t="shared" si="186"/>
        <v>11066205.687530708</v>
      </c>
      <c r="AE741" s="3">
        <f t="shared" si="187"/>
        <v>11051345.102429047</v>
      </c>
      <c r="AF741" s="3">
        <f t="shared" si="191"/>
        <v>-837400.82399475854</v>
      </c>
      <c r="AG741" s="3">
        <f t="shared" si="188"/>
        <v>11083026.153222304</v>
      </c>
      <c r="AH741" s="3">
        <f t="shared" si="189"/>
        <v>9.9464694121580519E-3</v>
      </c>
      <c r="AI741" s="3">
        <f t="shared" si="190"/>
        <v>-7.41194310771215E-4</v>
      </c>
    </row>
    <row r="742" spans="19:35" x14ac:dyDescent="0.3">
      <c r="S742" s="6">
        <v>725</v>
      </c>
      <c r="T742" s="4">
        <f t="shared" si="176"/>
        <v>362.5</v>
      </c>
      <c r="U742" s="3">
        <f t="shared" si="177"/>
        <v>-11084869.351807876</v>
      </c>
      <c r="V742" s="3">
        <f t="shared" si="178"/>
        <v>824743.93425385468</v>
      </c>
      <c r="W742" s="3">
        <f t="shared" si="179"/>
        <v>-28518.843795360106</v>
      </c>
      <c r="X742" s="3">
        <f t="shared" si="180"/>
        <v>2342.7074617765661</v>
      </c>
      <c r="Y742" s="3">
        <f t="shared" si="181"/>
        <v>11090608.129599232</v>
      </c>
      <c r="Z742" s="3">
        <f t="shared" si="182"/>
        <v>-816072.44636679615</v>
      </c>
      <c r="AA742" s="3">
        <f t="shared" si="183"/>
        <v>11120591.842256043</v>
      </c>
      <c r="AB742" s="3">
        <f t="shared" si="184"/>
        <v>11050608.129599232</v>
      </c>
      <c r="AC742" s="3">
        <f t="shared" si="185"/>
        <v>-813572.44636679615</v>
      </c>
      <c r="AD742" s="3">
        <f t="shared" si="186"/>
        <v>11080516.240656475</v>
      </c>
      <c r="AE742" s="3">
        <f t="shared" si="187"/>
        <v>11065608.129599232</v>
      </c>
      <c r="AF742" s="3">
        <f t="shared" si="191"/>
        <v>-838572.44636679615</v>
      </c>
      <c r="AG742" s="3">
        <f t="shared" si="188"/>
        <v>11097336.933952138</v>
      </c>
      <c r="AH742" s="3">
        <f t="shared" si="189"/>
        <v>9.9208427594406987E-3</v>
      </c>
      <c r="AI742" s="3">
        <f t="shared" si="190"/>
        <v>-7.3938206966921291E-4</v>
      </c>
    </row>
    <row r="743" spans="19:35" x14ac:dyDescent="0.3">
      <c r="S743" s="6">
        <v>726</v>
      </c>
      <c r="T743" s="4">
        <f t="shared" si="176"/>
        <v>363</v>
      </c>
      <c r="U743" s="3">
        <f t="shared" si="177"/>
        <v>-11099128.771225344</v>
      </c>
      <c r="V743" s="3">
        <f t="shared" si="178"/>
        <v>825915.28779989749</v>
      </c>
      <c r="W743" s="3">
        <f t="shared" si="179"/>
        <v>-28515.24252943843</v>
      </c>
      <c r="X743" s="3">
        <f t="shared" si="180"/>
        <v>2342.4390660852764</v>
      </c>
      <c r="Y743" s="3">
        <f t="shared" si="181"/>
        <v>11104869.351807876</v>
      </c>
      <c r="Z743" s="3">
        <f t="shared" si="182"/>
        <v>-817243.93425385468</v>
      </c>
      <c r="AA743" s="3">
        <f t="shared" si="183"/>
        <v>11134900.581899984</v>
      </c>
      <c r="AB743" s="3">
        <f t="shared" si="184"/>
        <v>11064869.351807876</v>
      </c>
      <c r="AC743" s="3">
        <f t="shared" si="185"/>
        <v>-814743.93425385468</v>
      </c>
      <c r="AD743" s="3">
        <f t="shared" si="186"/>
        <v>11094824.985144231</v>
      </c>
      <c r="AE743" s="3">
        <f t="shared" si="187"/>
        <v>11079869.351807876</v>
      </c>
      <c r="AF743" s="3">
        <f t="shared" si="191"/>
        <v>-839743.93425385468</v>
      </c>
      <c r="AG743" s="3">
        <f t="shared" si="188"/>
        <v>11111645.905456474</v>
      </c>
      <c r="AH743" s="3">
        <f t="shared" si="189"/>
        <v>9.8953182370461086E-3</v>
      </c>
      <c r="AI743" s="3">
        <f t="shared" si="190"/>
        <v>-7.3757668803736145E-4</v>
      </c>
    </row>
    <row r="744" spans="19:35" x14ac:dyDescent="0.3">
      <c r="S744" s="6">
        <v>727</v>
      </c>
      <c r="T744" s="4">
        <f t="shared" si="176"/>
        <v>363.5</v>
      </c>
      <c r="U744" s="3">
        <f t="shared" si="177"/>
        <v>-11113386.390016234</v>
      </c>
      <c r="V744" s="3">
        <f t="shared" si="178"/>
        <v>827086.50714854593</v>
      </c>
      <c r="W744" s="3">
        <f t="shared" si="179"/>
        <v>-28511.645581259265</v>
      </c>
      <c r="X744" s="3">
        <f t="shared" si="180"/>
        <v>2342.1709569591749</v>
      </c>
      <c r="Y744" s="3">
        <f t="shared" si="181"/>
        <v>11119128.771225344</v>
      </c>
      <c r="Z744" s="3">
        <f t="shared" si="182"/>
        <v>-818415.28779989749</v>
      </c>
      <c r="AA744" s="3">
        <f t="shared" si="183"/>
        <v>11149207.515083564</v>
      </c>
      <c r="AB744" s="3">
        <f t="shared" si="184"/>
        <v>11079128.771225344</v>
      </c>
      <c r="AC744" s="3">
        <f t="shared" si="185"/>
        <v>-815915.28779989749</v>
      </c>
      <c r="AD744" s="3">
        <f t="shared" si="186"/>
        <v>11109131.92316388</v>
      </c>
      <c r="AE744" s="3">
        <f t="shared" si="187"/>
        <v>11094128.771225344</v>
      </c>
      <c r="AF744" s="3">
        <f t="shared" si="191"/>
        <v>-840915.28779989749</v>
      </c>
      <c r="AG744" s="3">
        <f t="shared" si="188"/>
        <v>11125953.069907565</v>
      </c>
      <c r="AH744" s="3">
        <f t="shared" si="189"/>
        <v>9.8698952955624097E-3</v>
      </c>
      <c r="AI744" s="3">
        <f t="shared" si="190"/>
        <v>-7.3577813084383542E-4</v>
      </c>
    </row>
    <row r="745" spans="19:35" x14ac:dyDescent="0.3">
      <c r="S745" s="6">
        <v>728</v>
      </c>
      <c r="T745" s="4">
        <f t="shared" si="176"/>
        <v>364</v>
      </c>
      <c r="U745" s="3">
        <f t="shared" si="177"/>
        <v>-11127642.21033939</v>
      </c>
      <c r="V745" s="3">
        <f t="shared" si="178"/>
        <v>828257.59244308097</v>
      </c>
      <c r="W745" s="3">
        <f t="shared" si="179"/>
        <v>-28508.052939371679</v>
      </c>
      <c r="X745" s="3">
        <f t="shared" si="180"/>
        <v>2341.9031337195479</v>
      </c>
      <c r="Y745" s="3">
        <f t="shared" si="181"/>
        <v>11133386.390016234</v>
      </c>
      <c r="Z745" s="3">
        <f t="shared" si="182"/>
        <v>-819586.50714854593</v>
      </c>
      <c r="AA745" s="3">
        <f t="shared" si="183"/>
        <v>11163512.643970922</v>
      </c>
      <c r="AB745" s="3">
        <f t="shared" si="184"/>
        <v>11093386.390016234</v>
      </c>
      <c r="AC745" s="3">
        <f t="shared" si="185"/>
        <v>-817086.50714854593</v>
      </c>
      <c r="AD745" s="3">
        <f t="shared" si="186"/>
        <v>11123437.056879569</v>
      </c>
      <c r="AE745" s="3">
        <f t="shared" si="187"/>
        <v>11108386.390016234</v>
      </c>
      <c r="AF745" s="3">
        <f t="shared" si="191"/>
        <v>-842086.50714854593</v>
      </c>
      <c r="AG745" s="3">
        <f t="shared" si="188"/>
        <v>11140258.429471891</v>
      </c>
      <c r="AH745" s="3">
        <f t="shared" si="189"/>
        <v>9.8445733892949631E-3</v>
      </c>
      <c r="AI745" s="3">
        <f t="shared" si="190"/>
        <v>-7.3398636328158781E-4</v>
      </c>
    </row>
    <row r="746" spans="19:35" x14ac:dyDescent="0.3">
      <c r="S746" s="6">
        <v>729</v>
      </c>
      <c r="T746" s="4">
        <f t="shared" si="176"/>
        <v>364.5</v>
      </c>
      <c r="U746" s="3">
        <f t="shared" si="177"/>
        <v>-11141896.234347932</v>
      </c>
      <c r="V746" s="3">
        <f t="shared" si="178"/>
        <v>829428.54382644407</v>
      </c>
      <c r="W746" s="3">
        <f t="shared" si="179"/>
        <v>-28504.464592371281</v>
      </c>
      <c r="X746" s="3">
        <f t="shared" si="180"/>
        <v>2341.6355956901316</v>
      </c>
      <c r="Y746" s="3">
        <f t="shared" si="181"/>
        <v>11147642.21033939</v>
      </c>
      <c r="Z746" s="3">
        <f t="shared" si="182"/>
        <v>-820757.59244308097</v>
      </c>
      <c r="AA746" s="3">
        <f t="shared" si="183"/>
        <v>11177815.970720463</v>
      </c>
      <c r="AB746" s="3">
        <f t="shared" si="184"/>
        <v>11107642.21033939</v>
      </c>
      <c r="AC746" s="3">
        <f t="shared" si="185"/>
        <v>-818257.59244308097</v>
      </c>
      <c r="AD746" s="3">
        <f t="shared" si="186"/>
        <v>11137740.388449717</v>
      </c>
      <c r="AE746" s="3">
        <f t="shared" si="187"/>
        <v>11122642.21033939</v>
      </c>
      <c r="AF746" s="3">
        <f t="shared" si="191"/>
        <v>-843257.59244308097</v>
      </c>
      <c r="AG746" s="3">
        <f t="shared" si="188"/>
        <v>11154561.986310193</v>
      </c>
      <c r="AH746" s="3">
        <f t="shared" si="189"/>
        <v>9.8193519762364394E-3</v>
      </c>
      <c r="AI746" s="3">
        <f t="shared" si="190"/>
        <v>-7.3220135076664363E-4</v>
      </c>
    </row>
    <row r="747" spans="19:35" x14ac:dyDescent="0.3">
      <c r="S747" s="6">
        <v>730</v>
      </c>
      <c r="T747" s="4">
        <f t="shared" si="176"/>
        <v>365</v>
      </c>
      <c r="U747" s="3">
        <f t="shared" si="177"/>
        <v>-11156148.46418928</v>
      </c>
      <c r="V747" s="3">
        <f t="shared" si="178"/>
        <v>830599.3614412389</v>
      </c>
      <c r="W747" s="3">
        <f t="shared" si="179"/>
        <v>-28500.880528899954</v>
      </c>
      <c r="X747" s="3">
        <f t="shared" si="180"/>
        <v>2341.3683421971018</v>
      </c>
      <c r="Y747" s="3">
        <f t="shared" si="181"/>
        <v>11161896.234347932</v>
      </c>
      <c r="Z747" s="3">
        <f t="shared" si="182"/>
        <v>-821928.54382644407</v>
      </c>
      <c r="AA747" s="3">
        <f t="shared" si="183"/>
        <v>11192117.49748488</v>
      </c>
      <c r="AB747" s="3">
        <f t="shared" si="184"/>
        <v>11121896.234347932</v>
      </c>
      <c r="AC747" s="3">
        <f t="shared" si="185"/>
        <v>-819428.54382644407</v>
      </c>
      <c r="AD747" s="3">
        <f t="shared" si="186"/>
        <v>11152041.920027032</v>
      </c>
      <c r="AE747" s="3">
        <f t="shared" si="187"/>
        <v>11136896.234347932</v>
      </c>
      <c r="AF747" s="3">
        <f t="shared" si="191"/>
        <v>-844428.54382644407</v>
      </c>
      <c r="AG747" s="3">
        <f t="shared" si="188"/>
        <v>11168863.742577488</v>
      </c>
      <c r="AH747" s="3">
        <f t="shared" si="189"/>
        <v>9.7942305180364741E-3</v>
      </c>
      <c r="AI747" s="3">
        <f t="shared" si="190"/>
        <v>-7.3042305893635537E-4</v>
      </c>
    </row>
    <row r="748" spans="19:35" x14ac:dyDescent="0.3">
      <c r="S748" s="6">
        <v>731</v>
      </c>
      <c r="T748" s="4">
        <f t="shared" si="176"/>
        <v>365.5</v>
      </c>
      <c r="U748" s="3">
        <f t="shared" si="177"/>
        <v>-11170398.902005173</v>
      </c>
      <c r="V748" s="3">
        <f t="shared" si="178"/>
        <v>831770.0454297316</v>
      </c>
      <c r="W748" s="3">
        <f t="shared" si="179"/>
        <v>-28497.300737645612</v>
      </c>
      <c r="X748" s="3">
        <f t="shared" si="180"/>
        <v>2341.1013725690605</v>
      </c>
      <c r="Y748" s="3">
        <f t="shared" si="181"/>
        <v>11176148.46418928</v>
      </c>
      <c r="Z748" s="3">
        <f t="shared" si="182"/>
        <v>-823099.3614412389</v>
      </c>
      <c r="AA748" s="3">
        <f t="shared" si="183"/>
        <v>11206417.226411184</v>
      </c>
      <c r="AB748" s="3">
        <f t="shared" si="184"/>
        <v>11136148.46418928</v>
      </c>
      <c r="AC748" s="3">
        <f t="shared" si="185"/>
        <v>-820599.3614412389</v>
      </c>
      <c r="AD748" s="3">
        <f t="shared" si="186"/>
        <v>11166341.653758541</v>
      </c>
      <c r="AE748" s="3">
        <f t="shared" si="187"/>
        <v>11151148.46418928</v>
      </c>
      <c r="AF748" s="3">
        <f t="shared" si="191"/>
        <v>-845599.3614412389</v>
      </c>
      <c r="AG748" s="3">
        <f t="shared" si="188"/>
        <v>11183163.700423095</v>
      </c>
      <c r="AH748" s="3">
        <f t="shared" si="189"/>
        <v>9.7692084799721954E-3</v>
      </c>
      <c r="AI748" s="3">
        <f t="shared" si="190"/>
        <v>-7.2865145364771691E-4</v>
      </c>
    </row>
    <row r="749" spans="19:35" x14ac:dyDescent="0.3">
      <c r="S749" s="6">
        <v>732</v>
      </c>
      <c r="T749" s="4">
        <f t="shared" si="176"/>
        <v>366</v>
      </c>
      <c r="U749" s="3">
        <f t="shared" si="177"/>
        <v>-11184647.549931694</v>
      </c>
      <c r="V749" s="3">
        <f t="shared" si="178"/>
        <v>832940.5959338533</v>
      </c>
      <c r="W749" s="3">
        <f t="shared" si="179"/>
        <v>-28493.72520734194</v>
      </c>
      <c r="X749" s="3">
        <f t="shared" si="180"/>
        <v>2340.8346861370255</v>
      </c>
      <c r="Y749" s="3">
        <f t="shared" si="181"/>
        <v>11190398.902005173</v>
      </c>
      <c r="Z749" s="3">
        <f t="shared" si="182"/>
        <v>-824270.0454297316</v>
      </c>
      <c r="AA749" s="3">
        <f t="shared" si="183"/>
        <v>11220715.159640731</v>
      </c>
      <c r="AB749" s="3">
        <f t="shared" si="184"/>
        <v>11150398.902005173</v>
      </c>
      <c r="AC749" s="3">
        <f t="shared" si="185"/>
        <v>-821770.0454297316</v>
      </c>
      <c r="AD749" s="3">
        <f t="shared" si="186"/>
        <v>11180639.591785604</v>
      </c>
      <c r="AE749" s="3">
        <f t="shared" si="187"/>
        <v>11165398.902005173</v>
      </c>
      <c r="AF749" s="3">
        <f t="shared" si="191"/>
        <v>-846770.0454297316</v>
      </c>
      <c r="AG749" s="3">
        <f t="shared" si="188"/>
        <v>11197461.861990662</v>
      </c>
      <c r="AH749" s="3">
        <f t="shared" si="189"/>
        <v>9.7442853309187682E-3</v>
      </c>
      <c r="AI749" s="3">
        <f t="shared" si="190"/>
        <v>-7.2688650097567386E-4</v>
      </c>
    </row>
    <row r="750" spans="19:35" x14ac:dyDescent="0.3">
      <c r="S750" s="6">
        <v>733</v>
      </c>
      <c r="T750" s="4">
        <f t="shared" si="176"/>
        <v>366.5</v>
      </c>
      <c r="U750" s="3">
        <f t="shared" si="177"/>
        <v>-11198894.410099294</v>
      </c>
      <c r="V750" s="3">
        <f t="shared" si="178"/>
        <v>834111.01309520018</v>
      </c>
      <c r="W750" s="3">
        <f t="shared" si="179"/>
        <v>-28490.153926768158</v>
      </c>
      <c r="X750" s="3">
        <f t="shared" si="180"/>
        <v>2340.5682822344179</v>
      </c>
      <c r="Y750" s="3">
        <f t="shared" si="181"/>
        <v>11204647.549931694</v>
      </c>
      <c r="Z750" s="3">
        <f t="shared" si="182"/>
        <v>-825440.5959338533</v>
      </c>
      <c r="AA750" s="3">
        <f t="shared" si="183"/>
        <v>11235011.299309224</v>
      </c>
      <c r="AB750" s="3">
        <f t="shared" si="184"/>
        <v>11164647.549931694</v>
      </c>
      <c r="AC750" s="3">
        <f t="shared" si="185"/>
        <v>-822940.5959338533</v>
      </c>
      <c r="AD750" s="3">
        <f t="shared" si="186"/>
        <v>11194935.736243945</v>
      </c>
      <c r="AE750" s="3">
        <f t="shared" si="187"/>
        <v>11179647.549931694</v>
      </c>
      <c r="AF750" s="3">
        <f t="shared" si="191"/>
        <v>-847940.5959338533</v>
      </c>
      <c r="AG750" s="3">
        <f t="shared" si="188"/>
        <v>11211758.229418185</v>
      </c>
      <c r="AH750" s="3">
        <f t="shared" si="189"/>
        <v>9.7194605433200514E-3</v>
      </c>
      <c r="AI750" s="3">
        <f t="shared" si="190"/>
        <v>-7.2512816721143764E-4</v>
      </c>
    </row>
    <row r="751" spans="19:35" x14ac:dyDescent="0.3">
      <c r="S751" s="6">
        <v>734</v>
      </c>
      <c r="T751" s="4">
        <f t="shared" si="176"/>
        <v>367</v>
      </c>
      <c r="U751" s="3">
        <f t="shared" si="177"/>
        <v>-11213139.484632812</v>
      </c>
      <c r="V751" s="3">
        <f t="shared" si="178"/>
        <v>835281.29705503536</v>
      </c>
      <c r="W751" s="3">
        <f t="shared" si="179"/>
        <v>-28486.586884748758</v>
      </c>
      <c r="X751" s="3">
        <f t="shared" si="180"/>
        <v>2340.3021601970513</v>
      </c>
      <c r="Y751" s="3">
        <f t="shared" si="181"/>
        <v>11218894.410099294</v>
      </c>
      <c r="Z751" s="3">
        <f t="shared" si="182"/>
        <v>-826611.01309520018</v>
      </c>
      <c r="AA751" s="3">
        <f t="shared" si="183"/>
        <v>11249305.647546761</v>
      </c>
      <c r="AB751" s="3">
        <f t="shared" si="184"/>
        <v>11178894.410099294</v>
      </c>
      <c r="AC751" s="3">
        <f t="shared" si="185"/>
        <v>-824111.01309520018</v>
      </c>
      <c r="AD751" s="3">
        <f t="shared" si="186"/>
        <v>11209230.08926367</v>
      </c>
      <c r="AE751" s="3">
        <f t="shared" si="187"/>
        <v>11193894.410099294</v>
      </c>
      <c r="AF751" s="3">
        <f t="shared" si="191"/>
        <v>-849111.01309520018</v>
      </c>
      <c r="AG751" s="3">
        <f t="shared" si="188"/>
        <v>11226052.80483803</v>
      </c>
      <c r="AH751" s="3">
        <f t="shared" si="189"/>
        <v>9.6947335931598828E-3</v>
      </c>
      <c r="AI751" s="3">
        <f t="shared" si="190"/>
        <v>-7.2337641886083747E-4</v>
      </c>
    </row>
    <row r="752" spans="19:35" x14ac:dyDescent="0.3">
      <c r="S752" s="6">
        <v>735</v>
      </c>
      <c r="T752" s="4">
        <f t="shared" si="176"/>
        <v>367.5</v>
      </c>
      <c r="U752" s="3">
        <f t="shared" si="177"/>
        <v>-11227382.775651503</v>
      </c>
      <c r="V752" s="3">
        <f t="shared" si="178"/>
        <v>836451.44795428973</v>
      </c>
      <c r="W752" s="3">
        <f t="shared" si="179"/>
        <v>-28483.024070153271</v>
      </c>
      <c r="X752" s="3">
        <f t="shared" si="180"/>
        <v>2340.0363193631201</v>
      </c>
      <c r="Y752" s="3">
        <f t="shared" si="181"/>
        <v>11233139.484632812</v>
      </c>
      <c r="Z752" s="3">
        <f t="shared" si="182"/>
        <v>-827781.29705503536</v>
      </c>
      <c r="AA752" s="3">
        <f t="shared" si="183"/>
        <v>11263598.206477841</v>
      </c>
      <c r="AB752" s="3">
        <f t="shared" si="184"/>
        <v>11193139.484632812</v>
      </c>
      <c r="AC752" s="3">
        <f t="shared" si="185"/>
        <v>-825281.29705503536</v>
      </c>
      <c r="AD752" s="3">
        <f t="shared" si="186"/>
        <v>11223522.652969297</v>
      </c>
      <c r="AE752" s="3">
        <f t="shared" si="187"/>
        <v>11208139.484632812</v>
      </c>
      <c r="AF752" s="3">
        <f t="shared" si="191"/>
        <v>-850281.29705503536</v>
      </c>
      <c r="AG752" s="3">
        <f t="shared" si="188"/>
        <v>11240345.590376956</v>
      </c>
      <c r="AH752" s="3">
        <f t="shared" si="189"/>
        <v>9.6701039599335417E-3</v>
      </c>
      <c r="AI752" s="3">
        <f t="shared" si="190"/>
        <v>-7.2163122264268448E-4</v>
      </c>
    </row>
    <row r="753" spans="19:35" x14ac:dyDescent="0.3">
      <c r="S753" s="6">
        <v>736</v>
      </c>
      <c r="T753" s="4">
        <f t="shared" si="176"/>
        <v>368</v>
      </c>
      <c r="U753" s="3">
        <f t="shared" si="177"/>
        <v>-11241624.285269056</v>
      </c>
      <c r="V753" s="3">
        <f t="shared" si="178"/>
        <v>837621.46593356354</v>
      </c>
      <c r="W753" s="3">
        <f t="shared" si="179"/>
        <v>-28479.465471896016</v>
      </c>
      <c r="X753" s="3">
        <f t="shared" si="180"/>
        <v>2339.7707590731875</v>
      </c>
      <c r="Y753" s="3">
        <f t="shared" si="181"/>
        <v>11247382.775651503</v>
      </c>
      <c r="Z753" s="3">
        <f t="shared" si="182"/>
        <v>-828951.44795428973</v>
      </c>
      <c r="AA753" s="3">
        <f t="shared" si="183"/>
        <v>11277888.978221396</v>
      </c>
      <c r="AB753" s="3">
        <f t="shared" si="184"/>
        <v>11207382.775651503</v>
      </c>
      <c r="AC753" s="3">
        <f t="shared" si="185"/>
        <v>-826451.44795428973</v>
      </c>
      <c r="AD753" s="3">
        <f t="shared" si="186"/>
        <v>11237813.429479765</v>
      </c>
      <c r="AE753" s="3">
        <f t="shared" si="187"/>
        <v>11222382.775651503</v>
      </c>
      <c r="AF753" s="3">
        <f t="shared" si="191"/>
        <v>-851451.44795428973</v>
      </c>
      <c r="AG753" s="3">
        <f t="shared" si="188"/>
        <v>11254636.588156145</v>
      </c>
      <c r="AH753" s="3">
        <f t="shared" si="189"/>
        <v>9.6455711266193057E-3</v>
      </c>
      <c r="AI753" s="3">
        <f t="shared" si="190"/>
        <v>-7.1989254548713373E-4</v>
      </c>
    </row>
    <row r="754" spans="19:35" x14ac:dyDescent="0.3">
      <c r="S754" s="6">
        <v>737</v>
      </c>
      <c r="T754" s="4">
        <f t="shared" si="176"/>
        <v>368.5</v>
      </c>
      <c r="U754" s="3">
        <f t="shared" si="177"/>
        <v>-11255864.015593611</v>
      </c>
      <c r="V754" s="3">
        <f t="shared" si="178"/>
        <v>838791.351133127</v>
      </c>
      <c r="W754" s="3">
        <f t="shared" si="179"/>
        <v>-28475.911078935856</v>
      </c>
      <c r="X754" s="3">
        <f t="shared" si="180"/>
        <v>2339.5054786701753</v>
      </c>
      <c r="Y754" s="3">
        <f t="shared" si="181"/>
        <v>11261624.285269056</v>
      </c>
      <c r="Z754" s="3">
        <f t="shared" si="182"/>
        <v>-830121.46593356354</v>
      </c>
      <c r="AA754" s="3">
        <f t="shared" si="183"/>
        <v>11292177.964890806</v>
      </c>
      <c r="AB754" s="3">
        <f t="shared" si="184"/>
        <v>11221624.285269056</v>
      </c>
      <c r="AC754" s="3">
        <f t="shared" si="185"/>
        <v>-827621.46593356354</v>
      </c>
      <c r="AD754" s="3">
        <f t="shared" si="186"/>
        <v>11252102.42090847</v>
      </c>
      <c r="AE754" s="3">
        <f t="shared" si="187"/>
        <v>11236624.285269056</v>
      </c>
      <c r="AF754" s="3">
        <f t="shared" si="191"/>
        <v>-852621.46593356354</v>
      </c>
      <c r="AG754" s="3">
        <f t="shared" si="188"/>
        <v>11268925.800291216</v>
      </c>
      <c r="AH754" s="3">
        <f t="shared" si="189"/>
        <v>9.6211345796503311E-3</v>
      </c>
      <c r="AI754" s="3">
        <f t="shared" si="190"/>
        <v>-7.1816035453406641E-4</v>
      </c>
    </row>
    <row r="755" spans="19:35" x14ac:dyDescent="0.3">
      <c r="S755" s="6">
        <v>738</v>
      </c>
      <c r="T755" s="4">
        <f t="shared" si="176"/>
        <v>369</v>
      </c>
      <c r="U755" s="3">
        <f t="shared" si="177"/>
        <v>-11270101.968727795</v>
      </c>
      <c r="V755" s="3">
        <f t="shared" si="178"/>
        <v>839961.10369292193</v>
      </c>
      <c r="W755" s="3">
        <f t="shared" si="179"/>
        <v>-28472.360880275966</v>
      </c>
      <c r="X755" s="3">
        <f t="shared" si="180"/>
        <v>2339.2404774993524</v>
      </c>
      <c r="Y755" s="3">
        <f t="shared" si="181"/>
        <v>11275864.015593611</v>
      </c>
      <c r="Z755" s="3">
        <f t="shared" si="182"/>
        <v>-831291.351133127</v>
      </c>
      <c r="AA755" s="3">
        <f t="shared" si="183"/>
        <v>11306465.168593923</v>
      </c>
      <c r="AB755" s="3">
        <f t="shared" si="184"/>
        <v>11235864.015593611</v>
      </c>
      <c r="AC755" s="3">
        <f t="shared" si="185"/>
        <v>-828791.351133127</v>
      </c>
      <c r="AD755" s="3">
        <f t="shared" si="186"/>
        <v>11266389.62936328</v>
      </c>
      <c r="AE755" s="3">
        <f t="shared" si="187"/>
        <v>11250864.015593611</v>
      </c>
      <c r="AF755" s="3">
        <f t="shared" si="191"/>
        <v>-853791.351133127</v>
      </c>
      <c r="AG755" s="3">
        <f t="shared" si="188"/>
        <v>11283213.228892243</v>
      </c>
      <c r="AH755" s="3">
        <f t="shared" si="189"/>
        <v>9.5967938088869671E-3</v>
      </c>
      <c r="AI755" s="3">
        <f t="shared" si="190"/>
        <v>-7.1643461713149983E-4</v>
      </c>
    </row>
    <row r="756" spans="19:35" x14ac:dyDescent="0.3">
      <c r="S756" s="6">
        <v>739</v>
      </c>
      <c r="T756" s="4">
        <f t="shared" si="176"/>
        <v>369.5</v>
      </c>
      <c r="U756" s="3">
        <f t="shared" si="177"/>
        <v>-11284338.146768734</v>
      </c>
      <c r="V756" s="3">
        <f t="shared" si="178"/>
        <v>841130.72375256289</v>
      </c>
      <c r="W756" s="3">
        <f t="shared" si="179"/>
        <v>-28468.814864963584</v>
      </c>
      <c r="X756" s="3">
        <f t="shared" si="180"/>
        <v>2338.9757549083224</v>
      </c>
      <c r="Y756" s="3">
        <f t="shared" si="181"/>
        <v>11290101.968727795</v>
      </c>
      <c r="Z756" s="3">
        <f t="shared" si="182"/>
        <v>-832461.10369292193</v>
      </c>
      <c r="AA756" s="3">
        <f t="shared" si="183"/>
        <v>11320750.5914331</v>
      </c>
      <c r="AB756" s="3">
        <f t="shared" si="184"/>
        <v>11250101.968727795</v>
      </c>
      <c r="AC756" s="3">
        <f t="shared" si="185"/>
        <v>-829961.10369292193</v>
      </c>
      <c r="AD756" s="3">
        <f t="shared" si="186"/>
        <v>11280675.056946557</v>
      </c>
      <c r="AE756" s="3">
        <f t="shared" si="187"/>
        <v>11265101.968727795</v>
      </c>
      <c r="AF756" s="3">
        <f t="shared" si="191"/>
        <v>-854961.10369292193</v>
      </c>
      <c r="AG756" s="3">
        <f t="shared" si="188"/>
        <v>11297498.876063794</v>
      </c>
      <c r="AH756" s="3">
        <f t="shared" si="189"/>
        <v>9.5725483075892077E-3</v>
      </c>
      <c r="AI756" s="3">
        <f t="shared" si="190"/>
        <v>-7.147153008340006E-4</v>
      </c>
    </row>
    <row r="757" spans="19:35" x14ac:dyDescent="0.3">
      <c r="S757" s="6">
        <v>740</v>
      </c>
      <c r="T757" s="4">
        <f t="shared" si="176"/>
        <v>370</v>
      </c>
      <c r="U757" s="3">
        <f t="shared" si="177"/>
        <v>-11298572.551808078</v>
      </c>
      <c r="V757" s="3">
        <f t="shared" si="178"/>
        <v>842300.21145133825</v>
      </c>
      <c r="W757" s="3">
        <f t="shared" si="179"/>
        <v>-28465.273022089776</v>
      </c>
      <c r="X757" s="3">
        <f t="shared" si="180"/>
        <v>2338.7113102470139</v>
      </c>
      <c r="Y757" s="3">
        <f t="shared" si="181"/>
        <v>11304338.146768734</v>
      </c>
      <c r="Z757" s="3">
        <f t="shared" si="182"/>
        <v>-833630.72375256289</v>
      </c>
      <c r="AA757" s="3">
        <f t="shared" si="183"/>
        <v>11335034.235505201</v>
      </c>
      <c r="AB757" s="3">
        <f t="shared" si="184"/>
        <v>11264338.146768734</v>
      </c>
      <c r="AC757" s="3">
        <f t="shared" si="185"/>
        <v>-831130.72375256289</v>
      </c>
      <c r="AD757" s="3">
        <f t="shared" si="186"/>
        <v>11294958.70575518</v>
      </c>
      <c r="AE757" s="3">
        <f t="shared" si="187"/>
        <v>11279338.146768734</v>
      </c>
      <c r="AF757" s="3">
        <f t="shared" si="191"/>
        <v>-856130.72375256289</v>
      </c>
      <c r="AG757" s="3">
        <f t="shared" si="188"/>
        <v>11311782.743904933</v>
      </c>
      <c r="AH757" s="3">
        <f t="shared" si="189"/>
        <v>9.5483975723893513E-3</v>
      </c>
      <c r="AI757" s="3">
        <f t="shared" si="190"/>
        <v>-7.1300237340110985E-4</v>
      </c>
    </row>
    <row r="758" spans="19:35" x14ac:dyDescent="0.3">
      <c r="S758" s="6">
        <v>741</v>
      </c>
      <c r="T758" s="4">
        <f t="shared" si="176"/>
        <v>370.5</v>
      </c>
      <c r="U758" s="3">
        <f t="shared" si="177"/>
        <v>-11312805.185932023</v>
      </c>
      <c r="V758" s="3">
        <f t="shared" si="178"/>
        <v>843469.56692821113</v>
      </c>
      <c r="W758" s="3">
        <f t="shared" si="179"/>
        <v>-28461.735340789204</v>
      </c>
      <c r="X758" s="3">
        <f t="shared" si="180"/>
        <v>2338.4471428676688</v>
      </c>
      <c r="Y758" s="3">
        <f t="shared" si="181"/>
        <v>11318572.551808078</v>
      </c>
      <c r="Z758" s="3">
        <f t="shared" si="182"/>
        <v>-834800.21145133825</v>
      </c>
      <c r="AA758" s="3">
        <f t="shared" si="183"/>
        <v>11349316.102901638</v>
      </c>
      <c r="AB758" s="3">
        <f t="shared" si="184"/>
        <v>11278572.551808078</v>
      </c>
      <c r="AC758" s="3">
        <f t="shared" si="185"/>
        <v>-832300.21145133825</v>
      </c>
      <c r="AD758" s="3">
        <f t="shared" si="186"/>
        <v>11309240.577880573</v>
      </c>
      <c r="AE758" s="3">
        <f t="shared" si="187"/>
        <v>11293572.551808078</v>
      </c>
      <c r="AF758" s="3">
        <f t="shared" si="191"/>
        <v>-857300.21145133825</v>
      </c>
      <c r="AG758" s="3">
        <f t="shared" si="188"/>
        <v>11326064.834509263</v>
      </c>
      <c r="AH758" s="3">
        <f t="shared" si="189"/>
        <v>9.5243411032650861E-3</v>
      </c>
      <c r="AI758" s="3">
        <f t="shared" si="190"/>
        <v>-7.1129580279579363E-4</v>
      </c>
    </row>
    <row r="759" spans="19:35" x14ac:dyDescent="0.3">
      <c r="S759" s="6">
        <v>742</v>
      </c>
      <c r="T759" s="4">
        <f t="shared" si="176"/>
        <v>371</v>
      </c>
      <c r="U759" s="3">
        <f t="shared" si="177"/>
        <v>-11327036.051221333</v>
      </c>
      <c r="V759" s="3">
        <f t="shared" si="178"/>
        <v>844638.790321821</v>
      </c>
      <c r="W759" s="3">
        <f t="shared" si="179"/>
        <v>-28458.201810239894</v>
      </c>
      <c r="X759" s="3">
        <f t="shared" si="180"/>
        <v>2338.1832521248316</v>
      </c>
      <c r="Y759" s="3">
        <f t="shared" si="181"/>
        <v>11332805.185932023</v>
      </c>
      <c r="Z759" s="3">
        <f t="shared" si="182"/>
        <v>-835969.56692821113</v>
      </c>
      <c r="AA759" s="3">
        <f t="shared" si="183"/>
        <v>11363596.195708377</v>
      </c>
      <c r="AB759" s="3">
        <f t="shared" si="184"/>
        <v>11292805.185932023</v>
      </c>
      <c r="AC759" s="3">
        <f t="shared" si="185"/>
        <v>-833469.56692821113</v>
      </c>
      <c r="AD759" s="3">
        <f t="shared" si="186"/>
        <v>11323520.675408717</v>
      </c>
      <c r="AE759" s="3">
        <f t="shared" si="187"/>
        <v>11307805.185932023</v>
      </c>
      <c r="AF759" s="3">
        <f t="shared" si="191"/>
        <v>-858469.56692821113</v>
      </c>
      <c r="AG759" s="3">
        <f t="shared" si="188"/>
        <v>11340345.149964929</v>
      </c>
      <c r="AH759" s="3">
        <f t="shared" si="189"/>
        <v>9.5003784035124703E-3</v>
      </c>
      <c r="AI759" s="3">
        <f t="shared" si="190"/>
        <v>-7.0959555718288104E-4</v>
      </c>
    </row>
    <row r="760" spans="19:35" x14ac:dyDescent="0.3">
      <c r="S760" s="6">
        <v>743</v>
      </c>
      <c r="T760" s="4">
        <f t="shared" si="176"/>
        <v>371.5</v>
      </c>
      <c r="U760" s="3">
        <f t="shared" si="177"/>
        <v>-11341265.14975136</v>
      </c>
      <c r="V760" s="3">
        <f t="shared" si="178"/>
        <v>845807.8817704845</v>
      </c>
      <c r="W760" s="3">
        <f t="shared" si="179"/>
        <v>-28454.672419662991</v>
      </c>
      <c r="X760" s="3">
        <f t="shared" si="180"/>
        <v>2337.919637375338</v>
      </c>
      <c r="Y760" s="3">
        <f t="shared" si="181"/>
        <v>11347036.051221333</v>
      </c>
      <c r="Z760" s="3">
        <f t="shared" si="182"/>
        <v>-837138.790321821</v>
      </c>
      <c r="AA760" s="3">
        <f t="shared" si="183"/>
        <v>11377874.516005971</v>
      </c>
      <c r="AB760" s="3">
        <f t="shared" si="184"/>
        <v>11307036.051221333</v>
      </c>
      <c r="AC760" s="3">
        <f t="shared" si="185"/>
        <v>-834638.790321821</v>
      </c>
      <c r="AD760" s="3">
        <f t="shared" si="186"/>
        <v>11337799.000420179</v>
      </c>
      <c r="AE760" s="3">
        <f t="shared" si="187"/>
        <v>11322036.051221333</v>
      </c>
      <c r="AF760" s="3">
        <f t="shared" si="191"/>
        <v>-859638.790321821</v>
      </c>
      <c r="AG760" s="3">
        <f t="shared" si="188"/>
        <v>11354623.692354649</v>
      </c>
      <c r="AH760" s="3">
        <f t="shared" si="189"/>
        <v>9.4765089797197201E-3</v>
      </c>
      <c r="AI760" s="3">
        <f t="shared" si="190"/>
        <v>-7.079016049275586E-4</v>
      </c>
    </row>
    <row r="761" spans="19:35" x14ac:dyDescent="0.3">
      <c r="S761" s="6">
        <v>744</v>
      </c>
      <c r="T761" s="4">
        <f t="shared" si="176"/>
        <v>372</v>
      </c>
      <c r="U761" s="3">
        <f t="shared" si="177"/>
        <v>-11355492.483592063</v>
      </c>
      <c r="V761" s="3">
        <f t="shared" si="178"/>
        <v>846976.84141219675</v>
      </c>
      <c r="W761" s="3">
        <f t="shared" si="179"/>
        <v>-28451.147158322536</v>
      </c>
      <c r="X761" s="3">
        <f t="shared" si="180"/>
        <v>2337.6562979783048</v>
      </c>
      <c r="Y761" s="3">
        <f t="shared" si="181"/>
        <v>11361265.14975136</v>
      </c>
      <c r="Z761" s="3">
        <f t="shared" si="182"/>
        <v>-838307.8817704845</v>
      </c>
      <c r="AA761" s="3">
        <f t="shared" si="183"/>
        <v>11392151.065869575</v>
      </c>
      <c r="AB761" s="3">
        <f t="shared" si="184"/>
        <v>11321265.14975136</v>
      </c>
      <c r="AC761" s="3">
        <f t="shared" si="185"/>
        <v>-835807.8817704845</v>
      </c>
      <c r="AD761" s="3">
        <f t="shared" si="186"/>
        <v>11352075.554990124</v>
      </c>
      <c r="AE761" s="3">
        <f t="shared" si="187"/>
        <v>11336265.14975136</v>
      </c>
      <c r="AF761" s="3">
        <f t="shared" si="191"/>
        <v>-860807.8817704845</v>
      </c>
      <c r="AG761" s="3">
        <f t="shared" si="188"/>
        <v>11368900.463755736</v>
      </c>
      <c r="AH761" s="3">
        <f t="shared" si="189"/>
        <v>9.4527323417408111E-3</v>
      </c>
      <c r="AI761" s="3">
        <f t="shared" si="190"/>
        <v>-7.0621391459384372E-4</v>
      </c>
    </row>
    <row r="762" spans="19:35" x14ac:dyDescent="0.3">
      <c r="S762" s="6">
        <v>745</v>
      </c>
      <c r="T762" s="4">
        <f t="shared" si="176"/>
        <v>372.5</v>
      </c>
      <c r="U762" s="3">
        <f t="shared" si="177"/>
        <v>-11369718.054808041</v>
      </c>
      <c r="V762" s="3">
        <f t="shared" si="178"/>
        <v>848145.66938463238</v>
      </c>
      <c r="W762" s="3">
        <f t="shared" si="179"/>
        <v>-28447.626015525238</v>
      </c>
      <c r="X762" s="3">
        <f t="shared" si="180"/>
        <v>2337.3932332951185</v>
      </c>
      <c r="Y762" s="3">
        <f t="shared" si="181"/>
        <v>11375492.483592063</v>
      </c>
      <c r="Z762" s="3">
        <f t="shared" si="182"/>
        <v>-839476.84141219675</v>
      </c>
      <c r="AA762" s="3">
        <f t="shared" si="183"/>
        <v>11406425.847368971</v>
      </c>
      <c r="AB762" s="3">
        <f t="shared" si="184"/>
        <v>11335492.483592063</v>
      </c>
      <c r="AC762" s="3">
        <f t="shared" si="185"/>
        <v>-836976.84141219675</v>
      </c>
      <c r="AD762" s="3">
        <f t="shared" si="186"/>
        <v>11366350.341188349</v>
      </c>
      <c r="AE762" s="3">
        <f t="shared" si="187"/>
        <v>11350492.483592063</v>
      </c>
      <c r="AF762" s="3">
        <f t="shared" si="191"/>
        <v>-861976.84141219675</v>
      </c>
      <c r="AG762" s="3">
        <f t="shared" si="188"/>
        <v>11383175.466240115</v>
      </c>
      <c r="AH762" s="3">
        <f t="shared" si="189"/>
        <v>9.4290480026692838E-3</v>
      </c>
      <c r="AI762" s="3">
        <f t="shared" si="190"/>
        <v>-7.0453245494306966E-4</v>
      </c>
    </row>
    <row r="763" spans="19:35" x14ac:dyDescent="0.3">
      <c r="S763" s="6">
        <v>746</v>
      </c>
      <c r="T763" s="4">
        <f t="shared" si="176"/>
        <v>373</v>
      </c>
      <c r="U763" s="3">
        <f t="shared" si="177"/>
        <v>-11383941.865458542</v>
      </c>
      <c r="V763" s="3">
        <f t="shared" si="178"/>
        <v>849314.36582514679</v>
      </c>
      <c r="W763" s="3">
        <f t="shared" si="179"/>
        <v>-28444.108980620244</v>
      </c>
      <c r="X763" s="3">
        <f t="shared" si="180"/>
        <v>2337.1304426894249</v>
      </c>
      <c r="Y763" s="3">
        <f t="shared" si="181"/>
        <v>11389718.054808041</v>
      </c>
      <c r="Z763" s="3">
        <f t="shared" si="182"/>
        <v>-840645.66938463238</v>
      </c>
      <c r="AA763" s="3">
        <f t="shared" si="183"/>
        <v>11420698.862568587</v>
      </c>
      <c r="AB763" s="3">
        <f t="shared" si="184"/>
        <v>11349718.054808041</v>
      </c>
      <c r="AC763" s="3">
        <f t="shared" si="185"/>
        <v>-838145.66938463238</v>
      </c>
      <c r="AD763" s="3">
        <f t="shared" si="186"/>
        <v>11380623.361079298</v>
      </c>
      <c r="AE763" s="3">
        <f t="shared" si="187"/>
        <v>11364718.054808041</v>
      </c>
      <c r="AF763" s="3">
        <f t="shared" si="191"/>
        <v>-863145.66938463238</v>
      </c>
      <c r="AG763" s="3">
        <f t="shared" si="188"/>
        <v>11397448.701874349</v>
      </c>
      <c r="AH763" s="3">
        <f t="shared" si="189"/>
        <v>9.4054554788129113E-3</v>
      </c>
      <c r="AI763" s="3">
        <f t="shared" si="190"/>
        <v>-7.028571949324301E-4</v>
      </c>
    </row>
    <row r="764" spans="19:35" x14ac:dyDescent="0.3">
      <c r="S764" s="6">
        <v>747</v>
      </c>
      <c r="T764" s="4">
        <f t="shared" si="176"/>
        <v>373.5</v>
      </c>
      <c r="U764" s="3">
        <f t="shared" si="177"/>
        <v>-11398163.917597488</v>
      </c>
      <c r="V764" s="3">
        <f t="shared" si="178"/>
        <v>850482.93087077723</v>
      </c>
      <c r="W764" s="3">
        <f t="shared" si="179"/>
        <v>-28440.596042998906</v>
      </c>
      <c r="X764" s="3">
        <f t="shared" si="180"/>
        <v>2336.8679255271177</v>
      </c>
      <c r="Y764" s="3">
        <f t="shared" si="181"/>
        <v>11403941.865458542</v>
      </c>
      <c r="Z764" s="3">
        <f t="shared" si="182"/>
        <v>-841814.36582514679</v>
      </c>
      <c r="AA764" s="3">
        <f t="shared" si="183"/>
        <v>11434970.113527523</v>
      </c>
      <c r="AB764" s="3">
        <f t="shared" si="184"/>
        <v>11363941.865458542</v>
      </c>
      <c r="AC764" s="3">
        <f t="shared" si="185"/>
        <v>-839314.36582514679</v>
      </c>
      <c r="AD764" s="3">
        <f t="shared" si="186"/>
        <v>11394894.616722081</v>
      </c>
      <c r="AE764" s="3">
        <f t="shared" si="187"/>
        <v>11378941.865458542</v>
      </c>
      <c r="AF764" s="3">
        <f t="shared" si="191"/>
        <v>-864314.36582514679</v>
      </c>
      <c r="AG764" s="3">
        <f t="shared" si="188"/>
        <v>11411720.172719661</v>
      </c>
      <c r="AH764" s="3">
        <f t="shared" si="189"/>
        <v>9.3819542896675222E-3</v>
      </c>
      <c r="AI764" s="3">
        <f t="shared" si="190"/>
        <v>-7.0118810371345552E-4</v>
      </c>
    </row>
    <row r="765" spans="19:35" x14ac:dyDescent="0.3">
      <c r="S765" s="6">
        <v>748</v>
      </c>
      <c r="T765" s="4">
        <f t="shared" si="176"/>
        <v>374</v>
      </c>
      <c r="U765" s="3">
        <f t="shared" si="177"/>
        <v>-11412384.213273497</v>
      </c>
      <c r="V765" s="3">
        <f t="shared" si="178"/>
        <v>851651.36465824372</v>
      </c>
      <c r="W765" s="3">
        <f t="shared" si="179"/>
        <v>-28437.087192094572</v>
      </c>
      <c r="X765" s="3">
        <f t="shared" si="180"/>
        <v>2336.6056811763287</v>
      </c>
      <c r="Y765" s="3">
        <f t="shared" si="181"/>
        <v>11418163.917597488</v>
      </c>
      <c r="Z765" s="3">
        <f t="shared" si="182"/>
        <v>-842982.93087077723</v>
      </c>
      <c r="AA765" s="3">
        <f t="shared" si="183"/>
        <v>11449239.602299564</v>
      </c>
      <c r="AB765" s="3">
        <f t="shared" si="184"/>
        <v>11378163.917597488</v>
      </c>
      <c r="AC765" s="3">
        <f t="shared" si="185"/>
        <v>-840482.93087077723</v>
      </c>
      <c r="AD765" s="3">
        <f t="shared" si="186"/>
        <v>11409164.110170497</v>
      </c>
      <c r="AE765" s="3">
        <f t="shared" si="187"/>
        <v>11393163.917597488</v>
      </c>
      <c r="AF765" s="3">
        <f t="shared" si="191"/>
        <v>-865482.93087077723</v>
      </c>
      <c r="AG765" s="3">
        <f t="shared" si="188"/>
        <v>11425989.880831946</v>
      </c>
      <c r="AH765" s="3">
        <f t="shared" si="189"/>
        <v>9.358543957892148E-3</v>
      </c>
      <c r="AI765" s="3">
        <f t="shared" si="190"/>
        <v>-6.9952515063058406E-4</v>
      </c>
    </row>
    <row r="766" spans="19:35" x14ac:dyDescent="0.3">
      <c r="S766" s="6">
        <v>749</v>
      </c>
      <c r="T766" s="4">
        <f t="shared" si="176"/>
        <v>374.5</v>
      </c>
      <c r="U766" s="3">
        <f t="shared" si="177"/>
        <v>-11426602.754529908</v>
      </c>
      <c r="V766" s="3">
        <f t="shared" si="178"/>
        <v>852819.66732395056</v>
      </c>
      <c r="W766" s="3">
        <f t="shared" si="179"/>
        <v>-28433.582417382342</v>
      </c>
      <c r="X766" s="3">
        <f t="shared" si="180"/>
        <v>2336.3437090074176</v>
      </c>
      <c r="Y766" s="3">
        <f t="shared" si="181"/>
        <v>11432384.213273497</v>
      </c>
      <c r="Z766" s="3">
        <f t="shared" si="182"/>
        <v>-844151.36465824372</v>
      </c>
      <c r="AA766" s="3">
        <f t="shared" si="183"/>
        <v>11463507.33093321</v>
      </c>
      <c r="AB766" s="3">
        <f t="shared" si="184"/>
        <v>11392384.213273497</v>
      </c>
      <c r="AC766" s="3">
        <f t="shared" si="185"/>
        <v>-841651.36465824372</v>
      </c>
      <c r="AD766" s="3">
        <f t="shared" si="186"/>
        <v>11423431.843473058</v>
      </c>
      <c r="AE766" s="3">
        <f t="shared" si="187"/>
        <v>11407384.213273497</v>
      </c>
      <c r="AF766" s="3">
        <f t="shared" si="191"/>
        <v>-866651.36465824372</v>
      </c>
      <c r="AG766" s="3">
        <f t="shared" si="188"/>
        <v>11440257.8282618</v>
      </c>
      <c r="AH766" s="3">
        <f t="shared" si="189"/>
        <v>9.3352240092838702E-3</v>
      </c>
      <c r="AI766" s="3">
        <f t="shared" si="190"/>
        <v>-6.9786830521970469E-4</v>
      </c>
    </row>
    <row r="767" spans="19:35" x14ac:dyDescent="0.3">
      <c r="S767" s="6">
        <v>750</v>
      </c>
      <c r="T767" s="4">
        <f t="shared" si="176"/>
        <v>375</v>
      </c>
      <c r="U767" s="3">
        <f t="shared" si="177"/>
        <v>-11440819.543404793</v>
      </c>
      <c r="V767" s="3">
        <f t="shared" si="178"/>
        <v>853987.83900398714</v>
      </c>
      <c r="W767" s="3">
        <f t="shared" si="179"/>
        <v>-28430.081708378861</v>
      </c>
      <c r="X767" s="3">
        <f t="shared" si="180"/>
        <v>2336.0820083929602</v>
      </c>
      <c r="Y767" s="3">
        <f t="shared" si="181"/>
        <v>11446602.754529908</v>
      </c>
      <c r="Z767" s="3">
        <f t="shared" si="182"/>
        <v>-845319.66732395056</v>
      </c>
      <c r="AA767" s="3">
        <f t="shared" si="183"/>
        <v>11477773.301471692</v>
      </c>
      <c r="AB767" s="3">
        <f t="shared" si="184"/>
        <v>11406602.754529908</v>
      </c>
      <c r="AC767" s="3">
        <f t="shared" si="185"/>
        <v>-842819.66732395056</v>
      </c>
      <c r="AD767" s="3">
        <f t="shared" si="186"/>
        <v>11437697.818673011</v>
      </c>
      <c r="AE767" s="3">
        <f t="shared" si="187"/>
        <v>11421602.754529908</v>
      </c>
      <c r="AF767" s="3">
        <f t="shared" si="191"/>
        <v>-867819.66732395056</v>
      </c>
      <c r="AG767" s="3">
        <f t="shared" si="188"/>
        <v>11454524.017054547</v>
      </c>
      <c r="AH767" s="3">
        <f t="shared" si="189"/>
        <v>9.3119939727529816E-3</v>
      </c>
      <c r="AI767" s="3">
        <f t="shared" si="190"/>
        <v>-6.9621753720671895E-4</v>
      </c>
    </row>
    <row r="768" spans="19:35" x14ac:dyDescent="0.3">
      <c r="S768" s="6">
        <v>751</v>
      </c>
      <c r="T768" s="4">
        <f t="shared" si="176"/>
        <v>375.5</v>
      </c>
      <c r="U768" s="3">
        <f t="shared" si="177"/>
        <v>-11455034.581930984</v>
      </c>
      <c r="V768" s="3">
        <f t="shared" si="178"/>
        <v>855155.87983412924</v>
      </c>
      <c r="W768" s="3">
        <f t="shared" si="179"/>
        <v>-28426.585054642092</v>
      </c>
      <c r="X768" s="3">
        <f t="shared" si="180"/>
        <v>2335.8205787077391</v>
      </c>
      <c r="Y768" s="3">
        <f t="shared" si="181"/>
        <v>11460819.543404793</v>
      </c>
      <c r="Z768" s="3">
        <f t="shared" si="182"/>
        <v>-846487.83900398714</v>
      </c>
      <c r="AA768" s="3">
        <f t="shared" si="183"/>
        <v>11492037.515952986</v>
      </c>
      <c r="AB768" s="3">
        <f t="shared" si="184"/>
        <v>11420819.543404793</v>
      </c>
      <c r="AC768" s="3">
        <f t="shared" si="185"/>
        <v>-843987.83900398714</v>
      </c>
      <c r="AD768" s="3">
        <f t="shared" si="186"/>
        <v>11451962.037808347</v>
      </c>
      <c r="AE768" s="3">
        <f t="shared" si="187"/>
        <v>11435819.543404793</v>
      </c>
      <c r="AF768" s="3">
        <f t="shared" si="191"/>
        <v>-868987.83900398714</v>
      </c>
      <c r="AG768" s="3">
        <f t="shared" si="188"/>
        <v>11468788.449250244</v>
      </c>
      <c r="AH768" s="3">
        <f t="shared" si="189"/>
        <v>9.2888533802982336E-3</v>
      </c>
      <c r="AI768" s="3">
        <f t="shared" si="190"/>
        <v>-6.9457281650610716E-4</v>
      </c>
    </row>
    <row r="769" spans="19:35" x14ac:dyDescent="0.3">
      <c r="S769" s="6">
        <v>752</v>
      </c>
      <c r="T769" s="4">
        <f t="shared" si="176"/>
        <v>376</v>
      </c>
      <c r="U769" s="3">
        <f t="shared" si="177"/>
        <v>-11469247.872136092</v>
      </c>
      <c r="V769" s="3">
        <f t="shared" si="178"/>
        <v>856323.78994983993</v>
      </c>
      <c r="W769" s="3">
        <f t="shared" si="179"/>
        <v>-28423.092445771101</v>
      </c>
      <c r="X769" s="3">
        <f t="shared" si="180"/>
        <v>2335.5594193287329</v>
      </c>
      <c r="Y769" s="3">
        <f t="shared" si="181"/>
        <v>11475034.581930984</v>
      </c>
      <c r="Z769" s="3">
        <f t="shared" si="182"/>
        <v>-847655.87983412924</v>
      </c>
      <c r="AA769" s="3">
        <f t="shared" si="183"/>
        <v>11506299.976409853</v>
      </c>
      <c r="AB769" s="3">
        <f t="shared" si="184"/>
        <v>11435034.581930984</v>
      </c>
      <c r="AC769" s="3">
        <f t="shared" si="185"/>
        <v>-845155.87983412924</v>
      </c>
      <c r="AD769" s="3">
        <f t="shared" si="186"/>
        <v>11466224.502911834</v>
      </c>
      <c r="AE769" s="3">
        <f t="shared" si="187"/>
        <v>11450034.581930984</v>
      </c>
      <c r="AF769" s="3">
        <f t="shared" si="191"/>
        <v>-870155.87983412924</v>
      </c>
      <c r="AG769" s="3">
        <f t="shared" si="188"/>
        <v>11483051.126883714</v>
      </c>
      <c r="AH769" s="3">
        <f t="shared" si="189"/>
        <v>9.2658017669825146E-3</v>
      </c>
      <c r="AI769" s="3">
        <f t="shared" si="190"/>
        <v>-6.9293411321951837E-4</v>
      </c>
    </row>
    <row r="770" spans="19:35" x14ac:dyDescent="0.3">
      <c r="S770" s="6">
        <v>753</v>
      </c>
      <c r="T770" s="4">
        <f t="shared" si="176"/>
        <v>376.5</v>
      </c>
      <c r="U770" s="3">
        <f t="shared" si="177"/>
        <v>-11483459.416042527</v>
      </c>
      <c r="V770" s="3">
        <f t="shared" si="178"/>
        <v>857491.56948627078</v>
      </c>
      <c r="W770" s="3">
        <f t="shared" si="179"/>
        <v>-28419.60387140583</v>
      </c>
      <c r="X770" s="3">
        <f t="shared" si="180"/>
        <v>2335.2985296351058</v>
      </c>
      <c r="Y770" s="3">
        <f t="shared" si="181"/>
        <v>11489247.872136092</v>
      </c>
      <c r="Z770" s="3">
        <f t="shared" si="182"/>
        <v>-848823.78994983993</v>
      </c>
      <c r="AA770" s="3">
        <f t="shared" si="183"/>
        <v>11520560.684869835</v>
      </c>
      <c r="AB770" s="3">
        <f t="shared" si="184"/>
        <v>11449247.872136092</v>
      </c>
      <c r="AC770" s="3">
        <f t="shared" si="185"/>
        <v>-846323.78994983993</v>
      </c>
      <c r="AD770" s="3">
        <f t="shared" si="186"/>
        <v>11480485.216011032</v>
      </c>
      <c r="AE770" s="3">
        <f t="shared" si="187"/>
        <v>11464247.872136092</v>
      </c>
      <c r="AF770" s="3">
        <f t="shared" si="191"/>
        <v>-871323.78994983993</v>
      </c>
      <c r="AG770" s="3">
        <f t="shared" si="188"/>
        <v>11497312.051984562</v>
      </c>
      <c r="AH770" s="3">
        <f t="shared" si="189"/>
        <v>9.2428386709088265E-3</v>
      </c>
      <c r="AI770" s="3">
        <f t="shared" si="190"/>
        <v>-6.9130139763438079E-4</v>
      </c>
    </row>
    <row r="771" spans="19:35" x14ac:dyDescent="0.3">
      <c r="S771" s="6">
        <v>754</v>
      </c>
      <c r="T771" s="4">
        <f t="shared" si="176"/>
        <v>377</v>
      </c>
      <c r="U771" s="3">
        <f t="shared" si="177"/>
        <v>-11497669.21566752</v>
      </c>
      <c r="V771" s="3">
        <f t="shared" si="178"/>
        <v>858659.21857826307</v>
      </c>
      <c r="W771" s="3">
        <f t="shared" si="179"/>
        <v>-28416.119321226899</v>
      </c>
      <c r="X771" s="3">
        <f t="shared" si="180"/>
        <v>2335.0379090081974</v>
      </c>
      <c r="Y771" s="3">
        <f t="shared" si="181"/>
        <v>11503459.416042527</v>
      </c>
      <c r="Z771" s="3">
        <f t="shared" si="182"/>
        <v>-849991.56948627078</v>
      </c>
      <c r="AA771" s="3">
        <f t="shared" si="183"/>
        <v>11534819.643355297</v>
      </c>
      <c r="AB771" s="3">
        <f t="shared" si="184"/>
        <v>11463459.416042527</v>
      </c>
      <c r="AC771" s="3">
        <f t="shared" si="185"/>
        <v>-847491.56948627078</v>
      </c>
      <c r="AD771" s="3">
        <f t="shared" si="186"/>
        <v>11494744.179128319</v>
      </c>
      <c r="AE771" s="3">
        <f t="shared" si="187"/>
        <v>11478459.416042527</v>
      </c>
      <c r="AF771" s="3">
        <f t="shared" si="191"/>
        <v>-872491.56948627078</v>
      </c>
      <c r="AG771" s="3">
        <f t="shared" si="188"/>
        <v>11511571.226577194</v>
      </c>
      <c r="AH771" s="3">
        <f t="shared" si="189"/>
        <v>9.2199636331962743E-3</v>
      </c>
      <c r="AI771" s="3">
        <f t="shared" si="190"/>
        <v>-6.896746402225084E-4</v>
      </c>
    </row>
    <row r="772" spans="19:35" x14ac:dyDescent="0.3">
      <c r="S772" s="6">
        <v>755</v>
      </c>
      <c r="T772" s="4">
        <f t="shared" si="176"/>
        <v>377.5</v>
      </c>
      <c r="U772" s="3">
        <f t="shared" si="177"/>
        <v>-11511877.273023142</v>
      </c>
      <c r="V772" s="3">
        <f t="shared" si="178"/>
        <v>859826.73736034846</v>
      </c>
      <c r="W772" s="3">
        <f t="shared" si="179"/>
        <v>-28412.638784955368</v>
      </c>
      <c r="X772" s="3">
        <f t="shared" si="180"/>
        <v>2334.7775568315133</v>
      </c>
      <c r="Y772" s="3">
        <f t="shared" si="181"/>
        <v>11517669.21566752</v>
      </c>
      <c r="Z772" s="3">
        <f t="shared" si="182"/>
        <v>-851159.21857826307</v>
      </c>
      <c r="AA772" s="3">
        <f t="shared" si="183"/>
        <v>11549076.853883432</v>
      </c>
      <c r="AB772" s="3">
        <f t="shared" si="184"/>
        <v>11477669.21566752</v>
      </c>
      <c r="AC772" s="3">
        <f t="shared" si="185"/>
        <v>-848659.21857826307</v>
      </c>
      <c r="AD772" s="3">
        <f t="shared" si="186"/>
        <v>11509001.394280901</v>
      </c>
      <c r="AE772" s="3">
        <f t="shared" si="187"/>
        <v>11492669.21566752</v>
      </c>
      <c r="AF772" s="3">
        <f t="shared" si="191"/>
        <v>-873659.21857826307</v>
      </c>
      <c r="AG772" s="3">
        <f t="shared" si="188"/>
        <v>11525828.652680842</v>
      </c>
      <c r="AH772" s="3">
        <f t="shared" si="189"/>
        <v>9.1971761979560609E-3</v>
      </c>
      <c r="AI772" s="3">
        <f t="shared" si="190"/>
        <v>-6.8805381163870296E-4</v>
      </c>
    </row>
    <row r="773" spans="19:35" x14ac:dyDescent="0.3">
      <c r="S773" s="6">
        <v>756</v>
      </c>
      <c r="T773" s="4">
        <f t="shared" si="176"/>
        <v>378</v>
      </c>
      <c r="U773" s="3">
        <f t="shared" si="177"/>
        <v>-11526083.590116326</v>
      </c>
      <c r="V773" s="3">
        <f t="shared" si="178"/>
        <v>860994.12596675078</v>
      </c>
      <c r="W773" s="3">
        <f t="shared" si="179"/>
        <v>-28409.16225235254</v>
      </c>
      <c r="X773" s="3">
        <f t="shared" si="180"/>
        <v>2334.5174724907138</v>
      </c>
      <c r="Y773" s="3">
        <f t="shared" si="181"/>
        <v>11531877.273023142</v>
      </c>
      <c r="Z773" s="3">
        <f t="shared" si="182"/>
        <v>-852326.73736034846</v>
      </c>
      <c r="AA773" s="3">
        <f t="shared" si="183"/>
        <v>11563332.318466291</v>
      </c>
      <c r="AB773" s="3">
        <f t="shared" si="184"/>
        <v>11491877.273023142</v>
      </c>
      <c r="AC773" s="3">
        <f t="shared" si="185"/>
        <v>-849826.73736034846</v>
      </c>
      <c r="AD773" s="3">
        <f t="shared" si="186"/>
        <v>11523256.863480842</v>
      </c>
      <c r="AE773" s="3">
        <f t="shared" si="187"/>
        <v>11506877.273023142</v>
      </c>
      <c r="AF773" s="3">
        <f t="shared" si="191"/>
        <v>-874826.73736034846</v>
      </c>
      <c r="AG773" s="3">
        <f t="shared" si="188"/>
        <v>11540084.332309579</v>
      </c>
      <c r="AH773" s="3">
        <f t="shared" si="189"/>
        <v>9.1744759122687168E-3</v>
      </c>
      <c r="AI773" s="3">
        <f t="shared" si="190"/>
        <v>-6.8643888271944381E-4</v>
      </c>
    </row>
    <row r="774" spans="19:35" x14ac:dyDescent="0.3">
      <c r="S774" s="6">
        <v>757</v>
      </c>
      <c r="T774" s="4">
        <f t="shared" si="176"/>
        <v>378.5</v>
      </c>
      <c r="U774" s="3">
        <f t="shared" si="177"/>
        <v>-11540288.168948883</v>
      </c>
      <c r="V774" s="3">
        <f t="shared" si="178"/>
        <v>862161.38453138643</v>
      </c>
      <c r="W774" s="3">
        <f t="shared" si="179"/>
        <v>-28405.689713219748</v>
      </c>
      <c r="X774" s="3">
        <f t="shared" si="180"/>
        <v>2334.2576553736044</v>
      </c>
      <c r="Y774" s="3">
        <f t="shared" si="181"/>
        <v>11546083.590116326</v>
      </c>
      <c r="Z774" s="3">
        <f t="shared" si="182"/>
        <v>-853494.12596675078</v>
      </c>
      <c r="AA774" s="3">
        <f t="shared" si="183"/>
        <v>11577586.039110798</v>
      </c>
      <c r="AB774" s="3">
        <f t="shared" si="184"/>
        <v>11506083.590116326</v>
      </c>
      <c r="AC774" s="3">
        <f t="shared" si="185"/>
        <v>-850994.12596675078</v>
      </c>
      <c r="AD774" s="3">
        <f t="shared" si="186"/>
        <v>11537510.588735081</v>
      </c>
      <c r="AE774" s="3">
        <f t="shared" si="187"/>
        <v>11521083.590116326</v>
      </c>
      <c r="AF774" s="3">
        <f t="shared" si="191"/>
        <v>-875994.12596675078</v>
      </c>
      <c r="AG774" s="3">
        <f t="shared" si="188"/>
        <v>11554338.267472349</v>
      </c>
      <c r="AH774" s="3">
        <f t="shared" si="189"/>
        <v>9.1518623261598996E-3</v>
      </c>
      <c r="AI774" s="3">
        <f t="shared" si="190"/>
        <v>-6.8482982448146788E-4</v>
      </c>
    </row>
    <row r="775" spans="19:35" x14ac:dyDescent="0.3">
      <c r="S775" s="6">
        <v>758</v>
      </c>
      <c r="T775" s="4">
        <f t="shared" si="176"/>
        <v>379</v>
      </c>
      <c r="U775" s="3">
        <f t="shared" si="177"/>
        <v>-11554491.011517528</v>
      </c>
      <c r="V775" s="3">
        <f t="shared" si="178"/>
        <v>863328.51318786573</v>
      </c>
      <c r="W775" s="3">
        <f t="shared" si="179"/>
        <v>-28402.221157398133</v>
      </c>
      <c r="X775" s="3">
        <f t="shared" si="180"/>
        <v>2333.9981048701261</v>
      </c>
      <c r="Y775" s="3">
        <f t="shared" si="181"/>
        <v>11560288.168948883</v>
      </c>
      <c r="Z775" s="3">
        <f t="shared" si="182"/>
        <v>-854661.38453138643</v>
      </c>
      <c r="AA775" s="3">
        <f t="shared" si="183"/>
        <v>11591838.017818771</v>
      </c>
      <c r="AB775" s="3">
        <f t="shared" si="184"/>
        <v>11520288.168948883</v>
      </c>
      <c r="AC775" s="3">
        <f t="shared" si="185"/>
        <v>-852161.38453138643</v>
      </c>
      <c r="AD775" s="3">
        <f t="shared" si="186"/>
        <v>11551762.572045447</v>
      </c>
      <c r="AE775" s="3">
        <f t="shared" si="187"/>
        <v>11535288.168948883</v>
      </c>
      <c r="AF775" s="3">
        <f t="shared" si="191"/>
        <v>-877161.38453138643</v>
      </c>
      <c r="AG775" s="3">
        <f t="shared" si="188"/>
        <v>11568590.460172972</v>
      </c>
      <c r="AH775" s="3">
        <f t="shared" si="189"/>
        <v>9.1293349925780035E-3</v>
      </c>
      <c r="AI775" s="3">
        <f t="shared" si="190"/>
        <v>-6.8322660812047996E-4</v>
      </c>
    </row>
    <row r="776" spans="19:35" x14ac:dyDescent="0.3">
      <c r="S776" s="6">
        <v>759</v>
      </c>
      <c r="T776" s="4">
        <f t="shared" si="176"/>
        <v>379.5</v>
      </c>
      <c r="U776" s="3">
        <f t="shared" si="177"/>
        <v>-11568692.119813893</v>
      </c>
      <c r="V776" s="3">
        <f t="shared" si="178"/>
        <v>864495.51206949411</v>
      </c>
      <c r="W776" s="3">
        <f t="shared" si="179"/>
        <v>-28398.756574768449</v>
      </c>
      <c r="X776" s="3">
        <f t="shared" si="180"/>
        <v>2333.7388203723444</v>
      </c>
      <c r="Y776" s="3">
        <f t="shared" si="181"/>
        <v>11574491.011517528</v>
      </c>
      <c r="Z776" s="3">
        <f t="shared" si="182"/>
        <v>-855828.51318786573</v>
      </c>
      <c r="AA776" s="3">
        <f t="shared" si="183"/>
        <v>11606088.256586947</v>
      </c>
      <c r="AB776" s="3">
        <f t="shared" si="184"/>
        <v>11534491.011517528</v>
      </c>
      <c r="AC776" s="3">
        <f t="shared" si="185"/>
        <v>-853328.51318786573</v>
      </c>
      <c r="AD776" s="3">
        <f t="shared" si="186"/>
        <v>11566012.81540869</v>
      </c>
      <c r="AE776" s="3">
        <f t="shared" si="187"/>
        <v>11549491.011517528</v>
      </c>
      <c r="AF776" s="3">
        <f t="shared" si="191"/>
        <v>-878328.51318786573</v>
      </c>
      <c r="AG776" s="3">
        <f t="shared" si="188"/>
        <v>11582840.912410175</v>
      </c>
      <c r="AH776" s="3">
        <f t="shared" si="189"/>
        <v>9.1068934673710529E-3</v>
      </c>
      <c r="AI776" s="3">
        <f t="shared" si="190"/>
        <v>-6.8162920500980427E-4</v>
      </c>
    </row>
    <row r="777" spans="19:35" x14ac:dyDescent="0.3">
      <c r="S777" s="6">
        <v>760</v>
      </c>
      <c r="T777" s="4">
        <f t="shared" si="176"/>
        <v>380</v>
      </c>
      <c r="U777" s="3">
        <f t="shared" si="177"/>
        <v>-11582891.495824553</v>
      </c>
      <c r="V777" s="3">
        <f t="shared" si="178"/>
        <v>865662.38130927295</v>
      </c>
      <c r="W777" s="3">
        <f t="shared" si="179"/>
        <v>-28395.295955250847</v>
      </c>
      <c r="X777" s="3">
        <f t="shared" si="180"/>
        <v>2333.4798012744409</v>
      </c>
      <c r="Y777" s="3">
        <f t="shared" si="181"/>
        <v>11588692.119813893</v>
      </c>
      <c r="Z777" s="3">
        <f t="shared" si="182"/>
        <v>-856995.51206949411</v>
      </c>
      <c r="AA777" s="3">
        <f t="shared" si="183"/>
        <v>11620336.757406985</v>
      </c>
      <c r="AB777" s="3">
        <f t="shared" si="184"/>
        <v>11548692.119813893</v>
      </c>
      <c r="AC777" s="3">
        <f t="shared" si="185"/>
        <v>-854495.51206949411</v>
      </c>
      <c r="AD777" s="3">
        <f t="shared" si="186"/>
        <v>11580261.320816487</v>
      </c>
      <c r="AE777" s="3">
        <f t="shared" si="187"/>
        <v>11563692.119813893</v>
      </c>
      <c r="AF777" s="3">
        <f t="shared" si="191"/>
        <v>-879495.51206949411</v>
      </c>
      <c r="AG777" s="3">
        <f t="shared" si="188"/>
        <v>11597089.626177609</v>
      </c>
      <c r="AH777" s="3">
        <f t="shared" si="189"/>
        <v>9.0845373092640885E-3</v>
      </c>
      <c r="AI777" s="3">
        <f t="shared" si="190"/>
        <v>-6.8003758669907071E-4</v>
      </c>
    </row>
    <row r="778" spans="19:35" x14ac:dyDescent="0.3">
      <c r="S778" s="6">
        <v>761</v>
      </c>
      <c r="T778" s="4">
        <f t="shared" si="176"/>
        <v>380.5</v>
      </c>
      <c r="U778" s="3">
        <f t="shared" si="177"/>
        <v>-11597089.141531045</v>
      </c>
      <c r="V778" s="3">
        <f t="shared" si="178"/>
        <v>866829.1210399007</v>
      </c>
      <c r="W778" s="3">
        <f t="shared" si="179"/>
        <v>-28391.839288804673</v>
      </c>
      <c r="X778" s="3">
        <f t="shared" si="180"/>
        <v>2333.221046972702</v>
      </c>
      <c r="Y778" s="3">
        <f t="shared" si="181"/>
        <v>11602891.495824553</v>
      </c>
      <c r="Z778" s="3">
        <f t="shared" si="182"/>
        <v>-858162.38130927295</v>
      </c>
      <c r="AA778" s="3">
        <f t="shared" si="183"/>
        <v>11634583.522265511</v>
      </c>
      <c r="AB778" s="3">
        <f t="shared" si="184"/>
        <v>11562891.495824553</v>
      </c>
      <c r="AC778" s="3">
        <f t="shared" si="185"/>
        <v>-855662.38130927295</v>
      </c>
      <c r="AD778" s="3">
        <f t="shared" si="186"/>
        <v>11594508.090255473</v>
      </c>
      <c r="AE778" s="3">
        <f t="shared" si="187"/>
        <v>11577891.495824553</v>
      </c>
      <c r="AF778" s="3">
        <f t="shared" si="191"/>
        <v>-880662.38130927295</v>
      </c>
      <c r="AG778" s="3">
        <f t="shared" si="188"/>
        <v>11611336.603463868</v>
      </c>
      <c r="AH778" s="3">
        <f t="shared" si="189"/>
        <v>9.0622660798367165E-3</v>
      </c>
      <c r="AI778" s="3">
        <f t="shared" si="190"/>
        <v>-6.7845172491290797E-4</v>
      </c>
    </row>
    <row r="779" spans="19:35" x14ac:dyDescent="0.3">
      <c r="S779" s="6">
        <v>762</v>
      </c>
      <c r="T779" s="4">
        <f t="shared" si="176"/>
        <v>381</v>
      </c>
      <c r="U779" s="3">
        <f t="shared" si="177"/>
        <v>-11611285.05890988</v>
      </c>
      <c r="V779" s="3">
        <f t="shared" si="178"/>
        <v>867995.73139377416</v>
      </c>
      <c r="W779" s="3">
        <f t="shared" si="179"/>
        <v>-28388.386565428256</v>
      </c>
      <c r="X779" s="3">
        <f t="shared" si="180"/>
        <v>2332.9625568655101</v>
      </c>
      <c r="Y779" s="3">
        <f t="shared" si="181"/>
        <v>11617089.141531045</v>
      </c>
      <c r="Z779" s="3">
        <f t="shared" si="182"/>
        <v>-859329.1210399007</v>
      </c>
      <c r="AA779" s="3">
        <f t="shared" si="183"/>
        <v>11648828.55314412</v>
      </c>
      <c r="AB779" s="3">
        <f t="shared" si="184"/>
        <v>11577089.141531045</v>
      </c>
      <c r="AC779" s="3">
        <f t="shared" si="185"/>
        <v>-856829.1210399007</v>
      </c>
      <c r="AD779" s="3">
        <f t="shared" si="186"/>
        <v>11608753.125707258</v>
      </c>
      <c r="AE779" s="3">
        <f t="shared" si="187"/>
        <v>11592089.141531045</v>
      </c>
      <c r="AF779" s="3">
        <f t="shared" si="191"/>
        <v>-881829.1210399007</v>
      </c>
      <c r="AG779" s="3">
        <f t="shared" si="188"/>
        <v>11625581.846252512</v>
      </c>
      <c r="AH779" s="3">
        <f t="shared" si="189"/>
        <v>9.0400793435008505E-3</v>
      </c>
      <c r="AI779" s="3">
        <f t="shared" si="190"/>
        <v>-6.7687159154964705E-4</v>
      </c>
    </row>
    <row r="780" spans="19:35" x14ac:dyDescent="0.3">
      <c r="S780" s="6">
        <v>763</v>
      </c>
      <c r="T780" s="4">
        <f t="shared" si="176"/>
        <v>381.5</v>
      </c>
      <c r="U780" s="3">
        <f t="shared" si="177"/>
        <v>-11625479.249932574</v>
      </c>
      <c r="V780" s="3">
        <f t="shared" si="178"/>
        <v>869162.21250298899</v>
      </c>
      <c r="W780" s="3">
        <f t="shared" si="179"/>
        <v>-28384.937775158709</v>
      </c>
      <c r="X780" s="3">
        <f t="shared" si="180"/>
        <v>2332.7043303533337</v>
      </c>
      <c r="Y780" s="3">
        <f t="shared" si="181"/>
        <v>11631285.05890988</v>
      </c>
      <c r="Z780" s="3">
        <f t="shared" si="182"/>
        <v>-860495.73139377416</v>
      </c>
      <c r="AA780" s="3">
        <f t="shared" si="183"/>
        <v>11663071.852019394</v>
      </c>
      <c r="AB780" s="3">
        <f t="shared" si="184"/>
        <v>11591285.05890988</v>
      </c>
      <c r="AC780" s="3">
        <f t="shared" si="185"/>
        <v>-857995.73139377416</v>
      </c>
      <c r="AD780" s="3">
        <f t="shared" si="186"/>
        <v>11622996.429148439</v>
      </c>
      <c r="AE780" s="3">
        <f t="shared" si="187"/>
        <v>11606285.05890988</v>
      </c>
      <c r="AF780" s="3">
        <f t="shared" si="191"/>
        <v>-882995.73139377416</v>
      </c>
      <c r="AG780" s="3">
        <f t="shared" si="188"/>
        <v>11639825.35652208</v>
      </c>
      <c r="AH780" s="3">
        <f t="shared" si="189"/>
        <v>9.0179766674785503E-3</v>
      </c>
      <c r="AI780" s="3">
        <f t="shared" si="190"/>
        <v>-6.752971586800288E-4</v>
      </c>
    </row>
    <row r="781" spans="19:35" x14ac:dyDescent="0.3">
      <c r="S781" s="6">
        <v>764</v>
      </c>
      <c r="T781" s="4">
        <f t="shared" si="176"/>
        <v>382</v>
      </c>
      <c r="U781" s="3">
        <f t="shared" si="177"/>
        <v>-11639671.716565659</v>
      </c>
      <c r="V781" s="3">
        <f t="shared" si="178"/>
        <v>870328.5644993413</v>
      </c>
      <c r="W781" s="3">
        <f t="shared" si="179"/>
        <v>-28381.492908071734</v>
      </c>
      <c r="X781" s="3">
        <f t="shared" si="180"/>
        <v>2332.4463668387179</v>
      </c>
      <c r="Y781" s="3">
        <f t="shared" si="181"/>
        <v>11645479.249932574</v>
      </c>
      <c r="Z781" s="3">
        <f t="shared" si="182"/>
        <v>-861662.21250298899</v>
      </c>
      <c r="AA781" s="3">
        <f t="shared" si="183"/>
        <v>11677313.420862939</v>
      </c>
      <c r="AB781" s="3">
        <f t="shared" si="184"/>
        <v>11605479.249932574</v>
      </c>
      <c r="AC781" s="3">
        <f t="shared" si="185"/>
        <v>-859162.21250298899</v>
      </c>
      <c r="AD781" s="3">
        <f t="shared" si="186"/>
        <v>11637238.00255063</v>
      </c>
      <c r="AE781" s="3">
        <f t="shared" si="187"/>
        <v>11620479.249932574</v>
      </c>
      <c r="AF781" s="3">
        <f t="shared" si="191"/>
        <v>-884162.21250298899</v>
      </c>
      <c r="AG781" s="3">
        <f t="shared" si="188"/>
        <v>11654067.136246115</v>
      </c>
      <c r="AH781" s="3">
        <f t="shared" si="189"/>
        <v>8.995957621780664E-3</v>
      </c>
      <c r="AI781" s="3">
        <f t="shared" si="190"/>
        <v>-6.7372839854596659E-4</v>
      </c>
    </row>
    <row r="782" spans="19:35" x14ac:dyDescent="0.3">
      <c r="S782" s="6">
        <v>765</v>
      </c>
      <c r="T782" s="4">
        <f t="shared" si="176"/>
        <v>382.5</v>
      </c>
      <c r="U782" s="3">
        <f t="shared" si="177"/>
        <v>-11653862.460770706</v>
      </c>
      <c r="V782" s="3">
        <f t="shared" si="178"/>
        <v>871494.78751432849</v>
      </c>
      <c r="W782" s="3">
        <f t="shared" si="179"/>
        <v>-28378.051954281404</v>
      </c>
      <c r="X782" s="3">
        <f t="shared" si="180"/>
        <v>2332.1886657262739</v>
      </c>
      <c r="Y782" s="3">
        <f t="shared" si="181"/>
        <v>11659671.716565659</v>
      </c>
      <c r="Z782" s="3">
        <f t="shared" si="182"/>
        <v>-862828.5644993413</v>
      </c>
      <c r="AA782" s="3">
        <f t="shared" si="183"/>
        <v>11691553.261641379</v>
      </c>
      <c r="AB782" s="3">
        <f t="shared" si="184"/>
        <v>11619671.716565659</v>
      </c>
      <c r="AC782" s="3">
        <f t="shared" si="185"/>
        <v>-860328.5644993413</v>
      </c>
      <c r="AD782" s="3">
        <f t="shared" si="186"/>
        <v>11651477.847880475</v>
      </c>
      <c r="AE782" s="3">
        <f t="shared" si="187"/>
        <v>11634671.716565659</v>
      </c>
      <c r="AF782" s="3">
        <f t="shared" si="191"/>
        <v>-885328.5644993413</v>
      </c>
      <c r="AG782" s="3">
        <f t="shared" si="188"/>
        <v>11668307.187393181</v>
      </c>
      <c r="AH782" s="3">
        <f t="shared" si="189"/>
        <v>8.9740217791846322E-3</v>
      </c>
      <c r="AI782" s="3">
        <f t="shared" si="190"/>
        <v>-6.721652835592444E-4</v>
      </c>
    </row>
    <row r="783" spans="19:35" x14ac:dyDescent="0.3">
      <c r="S783" s="6">
        <v>766</v>
      </c>
      <c r="T783" s="4">
        <f t="shared" si="176"/>
        <v>383</v>
      </c>
      <c r="U783" s="3">
        <f t="shared" si="177"/>
        <v>-11668051.48450434</v>
      </c>
      <c r="V783" s="3">
        <f t="shared" si="178"/>
        <v>872660.88167915028</v>
      </c>
      <c r="W783" s="3">
        <f t="shared" si="179"/>
        <v>-28374.614903939975</v>
      </c>
      <c r="X783" s="3">
        <f t="shared" si="180"/>
        <v>2331.9312264226705</v>
      </c>
      <c r="Y783" s="3">
        <f t="shared" si="181"/>
        <v>11673862.460770706</v>
      </c>
      <c r="Z783" s="3">
        <f t="shared" si="182"/>
        <v>-863994.78751432849</v>
      </c>
      <c r="AA783" s="3">
        <f t="shared" si="183"/>
        <v>11705791.3763164</v>
      </c>
      <c r="AB783" s="3">
        <f t="shared" si="184"/>
        <v>11633862.460770706</v>
      </c>
      <c r="AC783" s="3">
        <f t="shared" si="185"/>
        <v>-861494.78751432849</v>
      </c>
      <c r="AD783" s="3">
        <f t="shared" si="186"/>
        <v>11665715.967099668</v>
      </c>
      <c r="AE783" s="3">
        <f t="shared" si="187"/>
        <v>11648862.460770706</v>
      </c>
      <c r="AF783" s="3">
        <f t="shared" si="191"/>
        <v>-886494.78751432849</v>
      </c>
      <c r="AG783" s="3">
        <f t="shared" si="188"/>
        <v>11682545.511926886</v>
      </c>
      <c r="AH783" s="3">
        <f t="shared" si="189"/>
        <v>8.9521687152133433E-3</v>
      </c>
      <c r="AI783" s="3">
        <f t="shared" si="190"/>
        <v>-6.7060778630028599E-4</v>
      </c>
    </row>
    <row r="784" spans="19:35" x14ac:dyDescent="0.3">
      <c r="S784" s="6">
        <v>767</v>
      </c>
      <c r="T784" s="4">
        <f t="shared" si="176"/>
        <v>383.5</v>
      </c>
      <c r="U784" s="3">
        <f t="shared" si="177"/>
        <v>-11682238.789718268</v>
      </c>
      <c r="V784" s="3">
        <f t="shared" si="178"/>
        <v>873826.84712470975</v>
      </c>
      <c r="W784" s="3">
        <f t="shared" si="179"/>
        <v>-28371.18174723769</v>
      </c>
      <c r="X784" s="3">
        <f t="shared" si="180"/>
        <v>2331.6740483366243</v>
      </c>
      <c r="Y784" s="3">
        <f t="shared" si="181"/>
        <v>11688051.48450434</v>
      </c>
      <c r="Z784" s="3">
        <f t="shared" si="182"/>
        <v>-865160.88167915028</v>
      </c>
      <c r="AA784" s="3">
        <f t="shared" si="183"/>
        <v>11720027.766844751</v>
      </c>
      <c r="AB784" s="3">
        <f t="shared" si="184"/>
        <v>11648051.48450434</v>
      </c>
      <c r="AC784" s="3">
        <f t="shared" si="185"/>
        <v>-862660.88167915028</v>
      </c>
      <c r="AD784" s="3">
        <f t="shared" si="186"/>
        <v>11679952.362164976</v>
      </c>
      <c r="AE784" s="3">
        <f t="shared" si="187"/>
        <v>11663051.48450434</v>
      </c>
      <c r="AF784" s="3">
        <f t="shared" si="191"/>
        <v>-887660.88167915028</v>
      </c>
      <c r="AG784" s="3">
        <f t="shared" si="188"/>
        <v>11696782.111805892</v>
      </c>
      <c r="AH784" s="3">
        <f t="shared" si="189"/>
        <v>8.9303980081137692E-3</v>
      </c>
      <c r="AI784" s="3">
        <f t="shared" si="190"/>
        <v>-6.6905587951690874E-4</v>
      </c>
    </row>
    <row r="785" spans="19:35" x14ac:dyDescent="0.3">
      <c r="S785" s="6">
        <v>768</v>
      </c>
      <c r="T785" s="4">
        <f t="shared" si="176"/>
        <v>384</v>
      </c>
      <c r="U785" s="3">
        <f t="shared" si="177"/>
        <v>-11696424.378359288</v>
      </c>
      <c r="V785" s="3">
        <f t="shared" si="178"/>
        <v>874992.68398161407</v>
      </c>
      <c r="W785" s="3">
        <f t="shared" si="179"/>
        <v>-28367.752474402572</v>
      </c>
      <c r="X785" s="3">
        <f t="shared" si="180"/>
        <v>2331.41713087889</v>
      </c>
      <c r="Y785" s="3">
        <f t="shared" si="181"/>
        <v>11702238.789718268</v>
      </c>
      <c r="Z785" s="3">
        <f t="shared" si="182"/>
        <v>-866326.84712470975</v>
      </c>
      <c r="AA785" s="3">
        <f t="shared" si="183"/>
        <v>11734262.435178272</v>
      </c>
      <c r="AB785" s="3">
        <f t="shared" si="184"/>
        <v>11662238.789718268</v>
      </c>
      <c r="AC785" s="3">
        <f t="shared" si="185"/>
        <v>-863826.84712470975</v>
      </c>
      <c r="AD785" s="3">
        <f t="shared" si="186"/>
        <v>11694187.035028251</v>
      </c>
      <c r="AE785" s="3">
        <f t="shared" si="187"/>
        <v>11677238.789718268</v>
      </c>
      <c r="AF785" s="3">
        <f t="shared" si="191"/>
        <v>-888826.84712470975</v>
      </c>
      <c r="AG785" s="3">
        <f t="shared" si="188"/>
        <v>11711016.988983946</v>
      </c>
      <c r="AH785" s="3">
        <f t="shared" si="189"/>
        <v>8.9087092388361253E-3</v>
      </c>
      <c r="AI785" s="3">
        <f t="shared" si="190"/>
        <v>-6.6750953612310831E-4</v>
      </c>
    </row>
    <row r="786" spans="19:35" x14ac:dyDescent="0.3">
      <c r="S786" s="6">
        <v>769</v>
      </c>
      <c r="T786" s="4">
        <f t="shared" ref="T786:T849" si="192">T785+$C$4</f>
        <v>384.5</v>
      </c>
      <c r="U786" s="3">
        <f t="shared" ref="U786:U849" si="193">U785+(W785*$C$4)+(AH785*POWER($C$4,2))</f>
        <v>-11710608.252369311</v>
      </c>
      <c r="V786" s="3">
        <f t="shared" ref="V786:V849" si="194">V785+(X785*$C$4)+(AI785*POWER($C$4,2))</f>
        <v>876158.39238017611</v>
      </c>
      <c r="W786" s="3">
        <f t="shared" ref="W786:W849" si="195">W785+(AH785*T786)</f>
        <v>-28364.327075700239</v>
      </c>
      <c r="X786" s="3">
        <f t="shared" ref="X786:X849" si="196">X785+(AI785*T786)</f>
        <v>2331.1604734622506</v>
      </c>
      <c r="Y786" s="3">
        <f t="shared" ref="Y786:Y849" si="197">$C$19-U785</f>
        <v>11716424.378359288</v>
      </c>
      <c r="Z786" s="3">
        <f t="shared" ref="Z786:Z849" si="198">$C$20-V785</f>
        <v>-867492.68398161407</v>
      </c>
      <c r="AA786" s="3">
        <f t="shared" ref="AA786:AA849" si="199">SQRT(POWER(Y786,2)+POWER(Z786,2))</f>
        <v>11748495.383263912</v>
      </c>
      <c r="AB786" s="3">
        <f t="shared" ref="AB786:AB849" si="200">$F$19-U785</f>
        <v>11676424.378359288</v>
      </c>
      <c r="AC786" s="3">
        <f t="shared" ref="AC786:AC849" si="201">$F$20-V785</f>
        <v>-864992.68398161407</v>
      </c>
      <c r="AD786" s="3">
        <f t="shared" ref="AD786:AD849" si="202">SQRT(POWER(AB786,2)+POWER(AC786,2))</f>
        <v>11708419.987636453</v>
      </c>
      <c r="AE786" s="3">
        <f t="shared" ref="AE786:AE849" si="203">$I$19-U785</f>
        <v>11691424.378359288</v>
      </c>
      <c r="AF786" s="3">
        <f t="shared" si="191"/>
        <v>-889992.68398161407</v>
      </c>
      <c r="AG786" s="3">
        <f t="shared" ref="AG786:AG849" si="204">SQRT(POWER(AE786,2)+POWER(AF786,2))</f>
        <v>11725250.14540989</v>
      </c>
      <c r="AH786" s="3">
        <f t="shared" ref="AH786:AH849" si="205">($C$24*(Y786/POWER(POWER(AA786,2)+POWER($C$25,2),3/2)))+($F$24*(AB786/POWER(POWER(AD786,2)+POWER($F$25,2),3/2)))+($I$24*(AE786/POWER(POWER(AG786,2)+POWER($I$25,2),3/2)))</f>
        <v>8.8871019910126189E-3</v>
      </c>
      <c r="AI786" s="3">
        <f t="shared" ref="AI786:AI849" si="206">$C$24*(Z786/POWER(POWER(AA786,2)+POWER($C$25,2),3/2))+$F$24*(AC786/POWER(POWER(AD786,2)+POWER($F$25,2),3/2))+$I$24*(AF786/POWER(POWER(AG786,2)+POWER($I$25,2),3/2))</f>
        <v>-6.6596872919781245E-4</v>
      </c>
    </row>
    <row r="787" spans="19:35" x14ac:dyDescent="0.3">
      <c r="S787" s="6">
        <v>770</v>
      </c>
      <c r="T787" s="4">
        <f t="shared" si="192"/>
        <v>385</v>
      </c>
      <c r="U787" s="3">
        <f t="shared" si="193"/>
        <v>-11724790.413685385</v>
      </c>
      <c r="V787" s="3">
        <f t="shared" si="194"/>
        <v>877323.97245041502</v>
      </c>
      <c r="W787" s="3">
        <f t="shared" si="195"/>
        <v>-28360.905541433698</v>
      </c>
      <c r="X787" s="3">
        <f t="shared" si="196"/>
        <v>2330.9040755015094</v>
      </c>
      <c r="Y787" s="3">
        <f t="shared" si="197"/>
        <v>11730608.252369311</v>
      </c>
      <c r="Z787" s="3">
        <f t="shared" si="198"/>
        <v>-868658.39238017611</v>
      </c>
      <c r="AA787" s="3">
        <f t="shared" si="199"/>
        <v>11762726.61304374</v>
      </c>
      <c r="AB787" s="3">
        <f t="shared" si="200"/>
        <v>11690608.252369311</v>
      </c>
      <c r="AC787" s="3">
        <f t="shared" si="201"/>
        <v>-866158.39238017611</v>
      </c>
      <c r="AD787" s="3">
        <f t="shared" si="202"/>
        <v>11722651.221931668</v>
      </c>
      <c r="AE787" s="3">
        <f t="shared" si="203"/>
        <v>11705608.252369311</v>
      </c>
      <c r="AF787" s="3">
        <f t="shared" ref="AF787:AF850" si="207">$I$20-V786</f>
        <v>-891158.39238017611</v>
      </c>
      <c r="AG787" s="3">
        <f t="shared" si="204"/>
        <v>11739481.583027683</v>
      </c>
      <c r="AH787" s="3">
        <f t="shared" si="205"/>
        <v>8.8655758509371754E-3</v>
      </c>
      <c r="AI787" s="3">
        <f t="shared" si="206"/>
        <v>-6.6443343198370171E-4</v>
      </c>
    </row>
    <row r="788" spans="19:35" x14ac:dyDescent="0.3">
      <c r="S788" s="6">
        <v>771</v>
      </c>
      <c r="T788" s="4">
        <f t="shared" si="192"/>
        <v>385.5</v>
      </c>
      <c r="U788" s="3">
        <f t="shared" si="193"/>
        <v>-11738970.864239709</v>
      </c>
      <c r="V788" s="3">
        <f t="shared" si="194"/>
        <v>878489.4243220574</v>
      </c>
      <c r="W788" s="3">
        <f t="shared" si="195"/>
        <v>-28357.487861943162</v>
      </c>
      <c r="X788" s="3">
        <f t="shared" si="196"/>
        <v>2330.6479364134798</v>
      </c>
      <c r="Y788" s="3">
        <f t="shared" si="197"/>
        <v>11744790.413685385</v>
      </c>
      <c r="Z788" s="3">
        <f t="shared" si="198"/>
        <v>-869823.97245041502</v>
      </c>
      <c r="AA788" s="3">
        <f t="shared" si="199"/>
        <v>11776956.126454983</v>
      </c>
      <c r="AB788" s="3">
        <f t="shared" si="200"/>
        <v>11704790.413685385</v>
      </c>
      <c r="AC788" s="3">
        <f t="shared" si="201"/>
        <v>-867323.97245041502</v>
      </c>
      <c r="AD788" s="3">
        <f t="shared" si="202"/>
        <v>11736880.739851132</v>
      </c>
      <c r="AE788" s="3">
        <f t="shared" si="203"/>
        <v>11719790.413685385</v>
      </c>
      <c r="AF788" s="3">
        <f t="shared" si="207"/>
        <v>-892323.97245041502</v>
      </c>
      <c r="AG788" s="3">
        <f t="shared" si="204"/>
        <v>11753711.303776417</v>
      </c>
      <c r="AH788" s="3">
        <f t="shared" si="205"/>
        <v>8.8441304075447258E-3</v>
      </c>
      <c r="AI788" s="3">
        <f t="shared" si="206"/>
        <v>-6.6290361788599568E-4</v>
      </c>
    </row>
    <row r="789" spans="19:35" x14ac:dyDescent="0.3">
      <c r="S789" s="6">
        <v>772</v>
      </c>
      <c r="T789" s="4">
        <f t="shared" si="192"/>
        <v>386</v>
      </c>
      <c r="U789" s="3">
        <f t="shared" si="193"/>
        <v>-11753149.605959648</v>
      </c>
      <c r="V789" s="3">
        <f t="shared" si="194"/>
        <v>879654.74812453822</v>
      </c>
      <c r="W789" s="3">
        <f t="shared" si="195"/>
        <v>-28354.07402760585</v>
      </c>
      <c r="X789" s="3">
        <f t="shared" si="196"/>
        <v>2330.392055616976</v>
      </c>
      <c r="Y789" s="3">
        <f t="shared" si="197"/>
        <v>11758970.864239709</v>
      </c>
      <c r="Z789" s="3">
        <f t="shared" si="198"/>
        <v>-870989.4243220574</v>
      </c>
      <c r="AA789" s="3">
        <f t="shared" si="199"/>
        <v>11791183.925430018</v>
      </c>
      <c r="AB789" s="3">
        <f t="shared" si="200"/>
        <v>11718970.864239709</v>
      </c>
      <c r="AC789" s="3">
        <f t="shared" si="201"/>
        <v>-868489.4243220574</v>
      </c>
      <c r="AD789" s="3">
        <f t="shared" si="202"/>
        <v>11751108.54332724</v>
      </c>
      <c r="AE789" s="3">
        <f t="shared" si="203"/>
        <v>11733970.864239709</v>
      </c>
      <c r="AF789" s="3">
        <f t="shared" si="207"/>
        <v>-893489.4243220574</v>
      </c>
      <c r="AG789" s="3">
        <f t="shared" si="204"/>
        <v>11767939.309590347</v>
      </c>
      <c r="AH789" s="3">
        <f t="shared" si="205"/>
        <v>8.8227652523910453E-3</v>
      </c>
      <c r="AI789" s="3">
        <f t="shared" si="206"/>
        <v>-6.6137926047127554E-4</v>
      </c>
    </row>
    <row r="790" spans="19:35" x14ac:dyDescent="0.3">
      <c r="S790" s="6">
        <v>773</v>
      </c>
      <c r="T790" s="4">
        <f t="shared" si="192"/>
        <v>386.5</v>
      </c>
      <c r="U790" s="3">
        <f t="shared" si="193"/>
        <v>-11767326.640767759</v>
      </c>
      <c r="V790" s="3">
        <f t="shared" si="194"/>
        <v>880819.9439870019</v>
      </c>
      <c r="W790" s="3">
        <f t="shared" si="195"/>
        <v>-28350.664028835799</v>
      </c>
      <c r="X790" s="3">
        <f t="shared" si="196"/>
        <v>2330.1364325328041</v>
      </c>
      <c r="Y790" s="3">
        <f t="shared" si="197"/>
        <v>11773149.605959648</v>
      </c>
      <c r="Z790" s="3">
        <f t="shared" si="198"/>
        <v>-872154.74812453822</v>
      </c>
      <c r="AA790" s="3">
        <f t="shared" si="199"/>
        <v>11805410.011896411</v>
      </c>
      <c r="AB790" s="3">
        <f t="shared" si="200"/>
        <v>11733149.605959648</v>
      </c>
      <c r="AC790" s="3">
        <f t="shared" si="201"/>
        <v>-869654.74812453822</v>
      </c>
      <c r="AD790" s="3">
        <f t="shared" si="202"/>
        <v>11765334.634287568</v>
      </c>
      <c r="AE790" s="3">
        <f t="shared" si="203"/>
        <v>11748149.605959648</v>
      </c>
      <c r="AF790" s="3">
        <f t="shared" si="207"/>
        <v>-894654.74812453822</v>
      </c>
      <c r="AG790" s="3">
        <f t="shared" si="204"/>
        <v>11782165.602398891</v>
      </c>
      <c r="AH790" s="3">
        <f t="shared" si="205"/>
        <v>8.8014799796323467E-3</v>
      </c>
      <c r="AI790" s="3">
        <f t="shared" si="206"/>
        <v>-6.598603334662846E-4</v>
      </c>
    </row>
    <row r="791" spans="19:35" x14ac:dyDescent="0.3">
      <c r="S791" s="6">
        <v>774</v>
      </c>
      <c r="T791" s="4">
        <f t="shared" si="192"/>
        <v>387</v>
      </c>
      <c r="U791" s="3">
        <f t="shared" si="193"/>
        <v>-11781501.970581805</v>
      </c>
      <c r="V791" s="3">
        <f t="shared" si="194"/>
        <v>881985.01203830331</v>
      </c>
      <c r="W791" s="3">
        <f t="shared" si="195"/>
        <v>-28347.257856083681</v>
      </c>
      <c r="X791" s="3">
        <f t="shared" si="196"/>
        <v>2329.8810665837527</v>
      </c>
      <c r="Y791" s="3">
        <f t="shared" si="197"/>
        <v>11787326.640767759</v>
      </c>
      <c r="Z791" s="3">
        <f t="shared" si="198"/>
        <v>-873319.9439870019</v>
      </c>
      <c r="AA791" s="3">
        <f t="shared" si="199"/>
        <v>11819634.387776924</v>
      </c>
      <c r="AB791" s="3">
        <f t="shared" si="200"/>
        <v>11747326.640767759</v>
      </c>
      <c r="AC791" s="3">
        <f t="shared" si="201"/>
        <v>-870819.9439870019</v>
      </c>
      <c r="AD791" s="3">
        <f t="shared" si="202"/>
        <v>11779559.014654897</v>
      </c>
      <c r="AE791" s="3">
        <f t="shared" si="203"/>
        <v>11762326.640767759</v>
      </c>
      <c r="AF791" s="3">
        <f t="shared" si="207"/>
        <v>-895819.9439870019</v>
      </c>
      <c r="AG791" s="3">
        <f t="shared" si="204"/>
        <v>11796390.18412666</v>
      </c>
      <c r="AH791" s="3">
        <f t="shared" si="205"/>
        <v>8.780274186005764E-3</v>
      </c>
      <c r="AI791" s="3">
        <f t="shared" si="206"/>
        <v>-6.5834681075679436E-4</v>
      </c>
    </row>
    <row r="792" spans="19:35" x14ac:dyDescent="0.3">
      <c r="S792" s="6">
        <v>775</v>
      </c>
      <c r="T792" s="4">
        <f t="shared" si="192"/>
        <v>387.5</v>
      </c>
      <c r="U792" s="3">
        <f t="shared" si="193"/>
        <v>-11795675.597314779</v>
      </c>
      <c r="V792" s="3">
        <f t="shared" si="194"/>
        <v>883149.9524070085</v>
      </c>
      <c r="W792" s="3">
        <f t="shared" si="195"/>
        <v>-28343.855499836605</v>
      </c>
      <c r="X792" s="3">
        <f t="shared" si="196"/>
        <v>2329.6259571945843</v>
      </c>
      <c r="Y792" s="3">
        <f t="shared" si="197"/>
        <v>11801501.970581805</v>
      </c>
      <c r="Z792" s="3">
        <f t="shared" si="198"/>
        <v>-874485.01203830331</v>
      </c>
      <c r="AA792" s="3">
        <f t="shared" si="199"/>
        <v>11833857.054989547</v>
      </c>
      <c r="AB792" s="3">
        <f t="shared" si="200"/>
        <v>11761501.970581805</v>
      </c>
      <c r="AC792" s="3">
        <f t="shared" si="201"/>
        <v>-871985.01203830331</v>
      </c>
      <c r="AD792" s="3">
        <f t="shared" si="202"/>
        <v>11793781.686347222</v>
      </c>
      <c r="AE792" s="3">
        <f t="shared" si="203"/>
        <v>11776501.970581805</v>
      </c>
      <c r="AF792" s="3">
        <f t="shared" si="207"/>
        <v>-896985.01203830331</v>
      </c>
      <c r="AG792" s="3">
        <f t="shared" si="204"/>
        <v>11810613.056693479</v>
      </c>
      <c r="AH792" s="3">
        <f t="shared" si="205"/>
        <v>8.7591474708092198E-3</v>
      </c>
      <c r="AI792" s="3">
        <f t="shared" si="206"/>
        <v>-6.5683866638641727E-4</v>
      </c>
    </row>
    <row r="793" spans="19:35" x14ac:dyDescent="0.3">
      <c r="S793" s="6">
        <v>776</v>
      </c>
      <c r="T793" s="4">
        <f t="shared" si="192"/>
        <v>388</v>
      </c>
      <c r="U793" s="3">
        <f t="shared" si="193"/>
        <v>-11809847.52287491</v>
      </c>
      <c r="V793" s="3">
        <f t="shared" si="194"/>
        <v>884314.76522139611</v>
      </c>
      <c r="W793" s="3">
        <f t="shared" si="195"/>
        <v>-28340.456950617932</v>
      </c>
      <c r="X793" s="3">
        <f t="shared" si="196"/>
        <v>2329.3711037920266</v>
      </c>
      <c r="Y793" s="3">
        <f t="shared" si="197"/>
        <v>11815675.597314779</v>
      </c>
      <c r="Z793" s="3">
        <f t="shared" si="198"/>
        <v>-875649.9524070085</v>
      </c>
      <c r="AA793" s="3">
        <f t="shared" si="199"/>
        <v>11848078.015447499</v>
      </c>
      <c r="AB793" s="3">
        <f t="shared" si="200"/>
        <v>11775675.597314779</v>
      </c>
      <c r="AC793" s="3">
        <f t="shared" si="201"/>
        <v>-873149.9524070085</v>
      </c>
      <c r="AD793" s="3">
        <f t="shared" si="202"/>
        <v>11808002.651277782</v>
      </c>
      <c r="AE793" s="3">
        <f t="shared" si="203"/>
        <v>11790675.597314779</v>
      </c>
      <c r="AF793" s="3">
        <f t="shared" si="207"/>
        <v>-898149.9524070085</v>
      </c>
      <c r="AG793" s="3">
        <f t="shared" si="204"/>
        <v>11824834.222014401</v>
      </c>
      <c r="AH793" s="3">
        <f t="shared" si="205"/>
        <v>8.7380994358819981E-3</v>
      </c>
      <c r="AI793" s="3">
        <f t="shared" si="206"/>
        <v>-6.5533587455547204E-4</v>
      </c>
    </row>
    <row r="794" spans="19:35" x14ac:dyDescent="0.3">
      <c r="S794" s="6">
        <v>777</v>
      </c>
      <c r="T794" s="4">
        <f t="shared" si="192"/>
        <v>388.5</v>
      </c>
      <c r="U794" s="3">
        <f t="shared" si="193"/>
        <v>-11824017.749165693</v>
      </c>
      <c r="V794" s="3">
        <f t="shared" si="194"/>
        <v>885479.45060945814</v>
      </c>
      <c r="W794" s="3">
        <f t="shared" si="195"/>
        <v>-28337.062198987092</v>
      </c>
      <c r="X794" s="3">
        <f t="shared" si="196"/>
        <v>2329.1165058047618</v>
      </c>
      <c r="Y794" s="3">
        <f t="shared" si="197"/>
        <v>11829847.52287491</v>
      </c>
      <c r="Z794" s="3">
        <f t="shared" si="198"/>
        <v>-876814.76522139611</v>
      </c>
      <c r="AA794" s="3">
        <f t="shared" si="199"/>
        <v>11862297.271059258</v>
      </c>
      <c r="AB794" s="3">
        <f t="shared" si="200"/>
        <v>11789847.52287491</v>
      </c>
      <c r="AC794" s="3">
        <f t="shared" si="201"/>
        <v>-874314.76522139611</v>
      </c>
      <c r="AD794" s="3">
        <f t="shared" si="202"/>
        <v>11822221.911355065</v>
      </c>
      <c r="AE794" s="3">
        <f t="shared" si="203"/>
        <v>11804847.52287491</v>
      </c>
      <c r="AF794" s="3">
        <f t="shared" si="207"/>
        <v>-899314.76522139611</v>
      </c>
      <c r="AG794" s="3">
        <f t="shared" si="204"/>
        <v>11839053.681999721</v>
      </c>
      <c r="AH794" s="3">
        <f t="shared" si="205"/>
        <v>8.7171296855853633E-3</v>
      </c>
      <c r="AI794" s="3">
        <f t="shared" si="206"/>
        <v>-6.5383840961984727E-4</v>
      </c>
    </row>
    <row r="795" spans="19:35" x14ac:dyDescent="0.3">
      <c r="S795" s="6">
        <v>778</v>
      </c>
      <c r="T795" s="4">
        <f t="shared" si="192"/>
        <v>389</v>
      </c>
      <c r="U795" s="3">
        <f t="shared" si="193"/>
        <v>-11838186.278085904</v>
      </c>
      <c r="V795" s="3">
        <f t="shared" si="194"/>
        <v>886644.00869890093</v>
      </c>
      <c r="W795" s="3">
        <f t="shared" si="195"/>
        <v>-28333.671235539401</v>
      </c>
      <c r="X795" s="3">
        <f t="shared" si="196"/>
        <v>2328.8621626634199</v>
      </c>
      <c r="Y795" s="3">
        <f t="shared" si="197"/>
        <v>11844017.749165693</v>
      </c>
      <c r="Z795" s="3">
        <f t="shared" si="198"/>
        <v>-877979.45060945814</v>
      </c>
      <c r="AA795" s="3">
        <f t="shared" si="199"/>
        <v>11876514.823728571</v>
      </c>
      <c r="AB795" s="3">
        <f t="shared" si="200"/>
        <v>11804017.749165693</v>
      </c>
      <c r="AC795" s="3">
        <f t="shared" si="201"/>
        <v>-875479.45060945814</v>
      </c>
      <c r="AD795" s="3">
        <f t="shared" si="202"/>
        <v>11836439.468482831</v>
      </c>
      <c r="AE795" s="3">
        <f t="shared" si="203"/>
        <v>11819017.749165693</v>
      </c>
      <c r="AF795" s="3">
        <f t="shared" si="207"/>
        <v>-900479.45060945814</v>
      </c>
      <c r="AG795" s="3">
        <f t="shared" si="204"/>
        <v>11853271.438554995</v>
      </c>
      <c r="AH795" s="3">
        <f t="shared" si="205"/>
        <v>8.6962378267832676E-3</v>
      </c>
      <c r="AI795" s="3">
        <f t="shared" si="206"/>
        <v>-6.5234624608986966E-4</v>
      </c>
    </row>
    <row r="796" spans="19:35" x14ac:dyDescent="0.3">
      <c r="S796" s="6">
        <v>779</v>
      </c>
      <c r="T796" s="4">
        <f t="shared" si="192"/>
        <v>389.5</v>
      </c>
      <c r="U796" s="3">
        <f t="shared" si="193"/>
        <v>-11852353.111529615</v>
      </c>
      <c r="V796" s="3">
        <f t="shared" si="194"/>
        <v>887808.43961714604</v>
      </c>
      <c r="W796" s="3">
        <f t="shared" si="195"/>
        <v>-28330.28405090587</v>
      </c>
      <c r="X796" s="3">
        <f t="shared" si="196"/>
        <v>2328.608073800568</v>
      </c>
      <c r="Y796" s="3">
        <f t="shared" si="197"/>
        <v>11858186.278085904</v>
      </c>
      <c r="Z796" s="3">
        <f t="shared" si="198"/>
        <v>-879144.00869890093</v>
      </c>
      <c r="AA796" s="3">
        <f t="shared" si="199"/>
        <v>11890730.675354479</v>
      </c>
      <c r="AB796" s="3">
        <f t="shared" si="200"/>
        <v>11818186.278085904</v>
      </c>
      <c r="AC796" s="3">
        <f t="shared" si="201"/>
        <v>-876644.00869890093</v>
      </c>
      <c r="AD796" s="3">
        <f t="shared" si="202"/>
        <v>11850655.324560141</v>
      </c>
      <c r="AE796" s="3">
        <f t="shared" si="203"/>
        <v>11833186.278085904</v>
      </c>
      <c r="AF796" s="3">
        <f t="shared" si="207"/>
        <v>-901644.00869890093</v>
      </c>
      <c r="AG796" s="3">
        <f t="shared" si="204"/>
        <v>11867487.493581071</v>
      </c>
      <c r="AH796" s="3">
        <f t="shared" si="205"/>
        <v>8.6754234688233029E-3</v>
      </c>
      <c r="AI796" s="3">
        <f t="shared" si="206"/>
        <v>-6.5085935862918597E-4</v>
      </c>
    </row>
    <row r="797" spans="19:35" x14ac:dyDescent="0.3">
      <c r="S797" s="6">
        <v>780</v>
      </c>
      <c r="T797" s="4">
        <f t="shared" si="192"/>
        <v>390</v>
      </c>
      <c r="U797" s="3">
        <f t="shared" si="193"/>
        <v>-11866518.25138621</v>
      </c>
      <c r="V797" s="3">
        <f t="shared" si="194"/>
        <v>888972.74349133146</v>
      </c>
      <c r="W797" s="3">
        <f t="shared" si="195"/>
        <v>-28326.900635753027</v>
      </c>
      <c r="X797" s="3">
        <f t="shared" si="196"/>
        <v>2328.3542386507024</v>
      </c>
      <c r="Y797" s="3">
        <f t="shared" si="197"/>
        <v>11872353.111529615</v>
      </c>
      <c r="Z797" s="3">
        <f t="shared" si="198"/>
        <v>-880308.43961714604</v>
      </c>
      <c r="AA797" s="3">
        <f t="shared" si="199"/>
        <v>11904944.827831337</v>
      </c>
      <c r="AB797" s="3">
        <f t="shared" si="200"/>
        <v>11832353.111529615</v>
      </c>
      <c r="AC797" s="3">
        <f t="shared" si="201"/>
        <v>-877808.43961714604</v>
      </c>
      <c r="AD797" s="3">
        <f t="shared" si="202"/>
        <v>11864869.481481357</v>
      </c>
      <c r="AE797" s="3">
        <f t="shared" si="203"/>
        <v>11847353.111529615</v>
      </c>
      <c r="AF797" s="3">
        <f t="shared" si="207"/>
        <v>-902808.43961714604</v>
      </c>
      <c r="AG797" s="3">
        <f t="shared" si="204"/>
        <v>11881701.848974092</v>
      </c>
      <c r="AH797" s="3">
        <f t="shared" si="205"/>
        <v>8.654686223517746E-3</v>
      </c>
      <c r="AI797" s="3">
        <f t="shared" si="206"/>
        <v>-6.4937772205364845E-4</v>
      </c>
    </row>
    <row r="798" spans="19:35" x14ac:dyDescent="0.3">
      <c r="S798" s="6">
        <v>781</v>
      </c>
      <c r="T798" s="4">
        <f t="shared" si="192"/>
        <v>390.5</v>
      </c>
      <c r="U798" s="3">
        <f t="shared" si="193"/>
        <v>-11880681.699540416</v>
      </c>
      <c r="V798" s="3">
        <f t="shared" si="194"/>
        <v>890136.92044831242</v>
      </c>
      <c r="W798" s="3">
        <f t="shared" si="195"/>
        <v>-28323.520980782745</v>
      </c>
      <c r="X798" s="3">
        <f t="shared" si="196"/>
        <v>2328.1006566502406</v>
      </c>
      <c r="Y798" s="3">
        <f t="shared" si="197"/>
        <v>11886518.25138621</v>
      </c>
      <c r="Z798" s="3">
        <f t="shared" si="198"/>
        <v>-881472.74349133146</v>
      </c>
      <c r="AA798" s="3">
        <f t="shared" si="199"/>
        <v>11919157.283048816</v>
      </c>
      <c r="AB798" s="3">
        <f t="shared" si="200"/>
        <v>11846518.25138621</v>
      </c>
      <c r="AC798" s="3">
        <f t="shared" si="201"/>
        <v>-878972.74349133146</v>
      </c>
      <c r="AD798" s="3">
        <f t="shared" si="202"/>
        <v>11879081.941136161</v>
      </c>
      <c r="AE798" s="3">
        <f t="shared" si="203"/>
        <v>11861518.25138621</v>
      </c>
      <c r="AF798" s="3">
        <f t="shared" si="207"/>
        <v>-903972.74349133146</v>
      </c>
      <c r="AG798" s="3">
        <f t="shared" si="204"/>
        <v>11895914.506625518</v>
      </c>
      <c r="AH798" s="3">
        <f t="shared" si="205"/>
        <v>8.634025705125007E-3</v>
      </c>
      <c r="AI798" s="3">
        <f t="shared" si="206"/>
        <v>-6.4790131133023047E-4</v>
      </c>
    </row>
    <row r="799" spans="19:35" x14ac:dyDescent="0.3">
      <c r="S799" s="6">
        <v>782</v>
      </c>
      <c r="T799" s="4">
        <f t="shared" si="192"/>
        <v>391</v>
      </c>
      <c r="U799" s="3">
        <f t="shared" si="193"/>
        <v>-11894843.457872301</v>
      </c>
      <c r="V799" s="3">
        <f t="shared" si="194"/>
        <v>891300.97061466228</v>
      </c>
      <c r="W799" s="3">
        <f t="shared" si="195"/>
        <v>-28320.145076732042</v>
      </c>
      <c r="X799" s="3">
        <f t="shared" si="196"/>
        <v>2327.8473272375104</v>
      </c>
      <c r="Y799" s="3">
        <f t="shared" si="197"/>
        <v>11900681.699540416</v>
      </c>
      <c r="Z799" s="3">
        <f t="shared" si="198"/>
        <v>-882636.92044831242</v>
      </c>
      <c r="AA799" s="3">
        <f t="shared" si="199"/>
        <v>11933368.04289194</v>
      </c>
      <c r="AB799" s="3">
        <f t="shared" si="200"/>
        <v>11860681.699540416</v>
      </c>
      <c r="AC799" s="3">
        <f t="shared" si="201"/>
        <v>-880136.92044831242</v>
      </c>
      <c r="AD799" s="3">
        <f t="shared" si="202"/>
        <v>11893292.705409598</v>
      </c>
      <c r="AE799" s="3">
        <f t="shared" si="203"/>
        <v>11875681.699540416</v>
      </c>
      <c r="AF799" s="3">
        <f t="shared" si="207"/>
        <v>-905136.92044831242</v>
      </c>
      <c r="AG799" s="3">
        <f t="shared" si="204"/>
        <v>11910125.468422143</v>
      </c>
      <c r="AH799" s="3">
        <f t="shared" si="205"/>
        <v>8.6134415303308221E-3</v>
      </c>
      <c r="AI799" s="3">
        <f t="shared" si="206"/>
        <v>-6.4643010157591427E-4</v>
      </c>
    </row>
    <row r="800" spans="19:35" x14ac:dyDescent="0.3">
      <c r="S800" s="6">
        <v>783</v>
      </c>
      <c r="T800" s="4">
        <f t="shared" si="192"/>
        <v>391.5</v>
      </c>
      <c r="U800" s="3">
        <f t="shared" si="193"/>
        <v>-11909003.528257307</v>
      </c>
      <c r="V800" s="3">
        <f t="shared" si="194"/>
        <v>892464.8941166735</v>
      </c>
      <c r="W800" s="3">
        <f t="shared" si="195"/>
        <v>-28316.772914372919</v>
      </c>
      <c r="X800" s="3">
        <f t="shared" si="196"/>
        <v>2327.5942498527434</v>
      </c>
      <c r="Y800" s="3">
        <f t="shared" si="197"/>
        <v>11914843.457872301</v>
      </c>
      <c r="Z800" s="3">
        <f t="shared" si="198"/>
        <v>-883800.97061466228</v>
      </c>
      <c r="AA800" s="3">
        <f t="shared" si="199"/>
        <v>11947577.109241094</v>
      </c>
      <c r="AB800" s="3">
        <f t="shared" si="200"/>
        <v>11874843.457872301</v>
      </c>
      <c r="AC800" s="3">
        <f t="shared" si="201"/>
        <v>-881300.97061466228</v>
      </c>
      <c r="AD800" s="3">
        <f t="shared" si="202"/>
        <v>11907501.776182061</v>
      </c>
      <c r="AE800" s="3">
        <f t="shared" si="203"/>
        <v>11889843.457872301</v>
      </c>
      <c r="AF800" s="3">
        <f t="shared" si="207"/>
        <v>-906300.97061466228</v>
      </c>
      <c r="AG800" s="3">
        <f t="shared" si="204"/>
        <v>11924334.73624612</v>
      </c>
      <c r="AH800" s="3">
        <f t="shared" si="205"/>
        <v>8.5929333182300123E-3</v>
      </c>
      <c r="AI800" s="3">
        <f t="shared" si="206"/>
        <v>-6.4496406805662461E-4</v>
      </c>
    </row>
    <row r="801" spans="19:35" x14ac:dyDescent="0.3">
      <c r="S801" s="6">
        <v>784</v>
      </c>
      <c r="T801" s="4">
        <f t="shared" si="192"/>
        <v>392</v>
      </c>
      <c r="U801" s="3">
        <f t="shared" si="193"/>
        <v>-11923161.91256626</v>
      </c>
      <c r="V801" s="3">
        <f t="shared" si="194"/>
        <v>893628.69108035881</v>
      </c>
      <c r="W801" s="3">
        <f t="shared" si="195"/>
        <v>-28313.404484512172</v>
      </c>
      <c r="X801" s="3">
        <f t="shared" si="196"/>
        <v>2327.341423938065</v>
      </c>
      <c r="Y801" s="3">
        <f t="shared" si="197"/>
        <v>11929003.528257307</v>
      </c>
      <c r="Z801" s="3">
        <f t="shared" si="198"/>
        <v>-884964.8941166735</v>
      </c>
      <c r="AA801" s="3">
        <f t="shared" si="199"/>
        <v>11961784.483972039</v>
      </c>
      <c r="AB801" s="3">
        <f t="shared" si="200"/>
        <v>11889003.528257307</v>
      </c>
      <c r="AC801" s="3">
        <f t="shared" si="201"/>
        <v>-882464.8941166735</v>
      </c>
      <c r="AD801" s="3">
        <f t="shared" si="202"/>
        <v>11921709.155329324</v>
      </c>
      <c r="AE801" s="3">
        <f t="shared" si="203"/>
        <v>11904003.528257307</v>
      </c>
      <c r="AF801" s="3">
        <f t="shared" si="207"/>
        <v>-907464.8941166735</v>
      </c>
      <c r="AG801" s="3">
        <f t="shared" si="204"/>
        <v>11938542.311974967</v>
      </c>
      <c r="AH801" s="3">
        <f t="shared" si="205"/>
        <v>8.5725006903082015E-3</v>
      </c>
      <c r="AI801" s="3">
        <f t="shared" si="206"/>
        <v>-6.4350318618614909E-4</v>
      </c>
    </row>
    <row r="802" spans="19:35" x14ac:dyDescent="0.3">
      <c r="S802" s="6">
        <v>785</v>
      </c>
      <c r="T802" s="4">
        <f t="shared" si="192"/>
        <v>392.5</v>
      </c>
      <c r="U802" s="3">
        <f t="shared" si="193"/>
        <v>-11937318.612665389</v>
      </c>
      <c r="V802" s="3">
        <f t="shared" si="194"/>
        <v>894792.36163145199</v>
      </c>
      <c r="W802" s="3">
        <f t="shared" si="195"/>
        <v>-28310.039777991227</v>
      </c>
      <c r="X802" s="3">
        <f t="shared" si="196"/>
        <v>2327.088848937487</v>
      </c>
      <c r="Y802" s="3">
        <f t="shared" si="197"/>
        <v>11943161.91256626</v>
      </c>
      <c r="Z802" s="3">
        <f t="shared" si="198"/>
        <v>-886128.69108035881</v>
      </c>
      <c r="AA802" s="3">
        <f t="shared" si="199"/>
        <v>11975990.168955931</v>
      </c>
      <c r="AB802" s="3">
        <f t="shared" si="200"/>
        <v>11903161.91256626</v>
      </c>
      <c r="AC802" s="3">
        <f t="shared" si="201"/>
        <v>-883628.69108035881</v>
      </c>
      <c r="AD802" s="3">
        <f t="shared" si="202"/>
        <v>11935914.844722563</v>
      </c>
      <c r="AE802" s="3">
        <f t="shared" si="203"/>
        <v>11918161.91256626</v>
      </c>
      <c r="AF802" s="3">
        <f t="shared" si="207"/>
        <v>-908628.69108035881</v>
      </c>
      <c r="AG802" s="3">
        <f t="shared" si="204"/>
        <v>11952748.197481591</v>
      </c>
      <c r="AH802" s="3">
        <f t="shared" si="205"/>
        <v>8.5521432704239644E-3</v>
      </c>
      <c r="AI802" s="3">
        <f t="shared" si="206"/>
        <v>-6.4204743152509428E-4</v>
      </c>
    </row>
    <row r="803" spans="19:35" x14ac:dyDescent="0.3">
      <c r="S803" s="6">
        <v>786</v>
      </c>
      <c r="T803" s="4">
        <f t="shared" si="192"/>
        <v>393</v>
      </c>
      <c r="U803" s="3">
        <f t="shared" si="193"/>
        <v>-11951473.630416349</v>
      </c>
      <c r="V803" s="3">
        <f t="shared" si="194"/>
        <v>895955.90589540894</v>
      </c>
      <c r="W803" s="3">
        <f t="shared" si="195"/>
        <v>-28306.678785685952</v>
      </c>
      <c r="X803" s="3">
        <f t="shared" si="196"/>
        <v>2326.8365242968976</v>
      </c>
      <c r="Y803" s="3">
        <f t="shared" si="197"/>
        <v>11957318.612665389</v>
      </c>
      <c r="Z803" s="3">
        <f t="shared" si="198"/>
        <v>-887292.36163145199</v>
      </c>
      <c r="AA803" s="3">
        <f t="shared" si="199"/>
        <v>11990194.166059349</v>
      </c>
      <c r="AB803" s="3">
        <f t="shared" si="200"/>
        <v>11917318.612665389</v>
      </c>
      <c r="AC803" s="3">
        <f t="shared" si="201"/>
        <v>-884792.36163145199</v>
      </c>
      <c r="AD803" s="3">
        <f t="shared" si="202"/>
        <v>11950118.846228363</v>
      </c>
      <c r="AE803" s="3">
        <f t="shared" si="203"/>
        <v>11932318.612665389</v>
      </c>
      <c r="AF803" s="3">
        <f t="shared" si="207"/>
        <v>-909792.36163145199</v>
      </c>
      <c r="AG803" s="3">
        <f t="shared" si="204"/>
        <v>11966952.394634308</v>
      </c>
      <c r="AH803" s="3">
        <f t="shared" si="205"/>
        <v>8.5318606847903586E-3</v>
      </c>
      <c r="AI803" s="3">
        <f t="shared" si="206"/>
        <v>-6.4059677977978805E-4</v>
      </c>
    </row>
    <row r="804" spans="19:35" x14ac:dyDescent="0.3">
      <c r="S804" s="6">
        <v>787</v>
      </c>
      <c r="T804" s="4">
        <f t="shared" si="192"/>
        <v>393.5</v>
      </c>
      <c r="U804" s="3">
        <f t="shared" si="193"/>
        <v>-11965626.967676226</v>
      </c>
      <c r="V804" s="3">
        <f t="shared" si="194"/>
        <v>897119.32399740815</v>
      </c>
      <c r="W804" s="3">
        <f t="shared" si="195"/>
        <v>-28303.321498506488</v>
      </c>
      <c r="X804" s="3">
        <f t="shared" si="196"/>
        <v>2326.5844494640542</v>
      </c>
      <c r="Y804" s="3">
        <f t="shared" si="197"/>
        <v>11971473.630416349</v>
      </c>
      <c r="Z804" s="3">
        <f t="shared" si="198"/>
        <v>-888455.90589540894</v>
      </c>
      <c r="AA804" s="3">
        <f t="shared" si="199"/>
        <v>12004396.477144299</v>
      </c>
      <c r="AB804" s="3">
        <f t="shared" si="200"/>
        <v>11931473.630416349</v>
      </c>
      <c r="AC804" s="3">
        <f t="shared" si="201"/>
        <v>-885955.90589540894</v>
      </c>
      <c r="AD804" s="3">
        <f t="shared" si="202"/>
        <v>11964321.161708744</v>
      </c>
      <c r="AE804" s="3">
        <f t="shared" si="203"/>
        <v>11946473.630416349</v>
      </c>
      <c r="AF804" s="3">
        <f t="shared" si="207"/>
        <v>-910955.90589540894</v>
      </c>
      <c r="AG804" s="3">
        <f t="shared" si="204"/>
        <v>11981154.905296855</v>
      </c>
      <c r="AH804" s="3">
        <f t="shared" si="205"/>
        <v>8.5116525619577995E-3</v>
      </c>
      <c r="AI804" s="3">
        <f t="shared" si="206"/>
        <v>-6.3915120680128131E-4</v>
      </c>
    </row>
    <row r="805" spans="19:35" x14ac:dyDescent="0.3">
      <c r="S805" s="6">
        <v>788</v>
      </c>
      <c r="T805" s="4">
        <f t="shared" si="192"/>
        <v>394</v>
      </c>
      <c r="U805" s="3">
        <f t="shared" si="193"/>
        <v>-11979778.626297565</v>
      </c>
      <c r="V805" s="3">
        <f t="shared" si="194"/>
        <v>898282.61606235232</v>
      </c>
      <c r="W805" s="3">
        <f t="shared" si="195"/>
        <v>-28299.967907397076</v>
      </c>
      <c r="X805" s="3">
        <f t="shared" si="196"/>
        <v>2326.3326238885743</v>
      </c>
      <c r="Y805" s="3">
        <f t="shared" si="197"/>
        <v>11985626.967676226</v>
      </c>
      <c r="Z805" s="3">
        <f t="shared" si="198"/>
        <v>-889619.32399740815</v>
      </c>
      <c r="AA805" s="3">
        <f t="shared" si="199"/>
        <v>12018597.104068227</v>
      </c>
      <c r="AB805" s="3">
        <f t="shared" si="200"/>
        <v>11945626.967676226</v>
      </c>
      <c r="AC805" s="3">
        <f t="shared" si="201"/>
        <v>-887119.32399740815</v>
      </c>
      <c r="AD805" s="3">
        <f t="shared" si="202"/>
        <v>11978521.79302117</v>
      </c>
      <c r="AE805" s="3">
        <f t="shared" si="203"/>
        <v>11960626.967676226</v>
      </c>
      <c r="AF805" s="3">
        <f t="shared" si="207"/>
        <v>-912119.32399740815</v>
      </c>
      <c r="AG805" s="3">
        <f t="shared" si="204"/>
        <v>11995355.731328407</v>
      </c>
      <c r="AH805" s="3">
        <f t="shared" si="205"/>
        <v>8.4915185327961544E-3</v>
      </c>
      <c r="AI805" s="3">
        <f t="shared" si="206"/>
        <v>-6.3771068858428886E-4</v>
      </c>
    </row>
    <row r="806" spans="19:35" x14ac:dyDescent="0.3">
      <c r="S806" s="6">
        <v>789</v>
      </c>
      <c r="T806" s="4">
        <f t="shared" si="192"/>
        <v>394.5</v>
      </c>
      <c r="U806" s="3">
        <f t="shared" si="193"/>
        <v>-11993928.608128384</v>
      </c>
      <c r="V806" s="3">
        <f t="shared" si="194"/>
        <v>899445.78221486893</v>
      </c>
      <c r="W806" s="3">
        <f t="shared" si="195"/>
        <v>-28296.618003335887</v>
      </c>
      <c r="X806" s="3">
        <f t="shared" si="196"/>
        <v>2326.0810470219276</v>
      </c>
      <c r="Y806" s="3">
        <f t="shared" si="197"/>
        <v>11999778.626297565</v>
      </c>
      <c r="Z806" s="3">
        <f t="shared" si="198"/>
        <v>-890782.61606235232</v>
      </c>
      <c r="AA806" s="3">
        <f t="shared" si="199"/>
        <v>12032796.048684061</v>
      </c>
      <c r="AB806" s="3">
        <f t="shared" si="200"/>
        <v>11959778.626297565</v>
      </c>
      <c r="AC806" s="3">
        <f t="shared" si="201"/>
        <v>-888282.61606235232</v>
      </c>
      <c r="AD806" s="3">
        <f t="shared" si="202"/>
        <v>11992720.742018579</v>
      </c>
      <c r="AE806" s="3">
        <f t="shared" si="203"/>
        <v>11974778.626297565</v>
      </c>
      <c r="AF806" s="3">
        <f t="shared" si="207"/>
        <v>-913282.61606235232</v>
      </c>
      <c r="AG806" s="3">
        <f t="shared" si="204"/>
        <v>12009554.874583598</v>
      </c>
      <c r="AH806" s="3">
        <f t="shared" si="205"/>
        <v>8.4714582304771455E-3</v>
      </c>
      <c r="AI806" s="3">
        <f t="shared" si="206"/>
        <v>-6.3627520126614888E-4</v>
      </c>
    </row>
    <row r="807" spans="19:35" x14ac:dyDescent="0.3">
      <c r="S807" s="6">
        <v>790</v>
      </c>
      <c r="T807" s="4">
        <f t="shared" si="192"/>
        <v>395</v>
      </c>
      <c r="U807" s="3">
        <f t="shared" si="193"/>
        <v>-12008076.915012186</v>
      </c>
      <c r="V807" s="3">
        <f t="shared" si="194"/>
        <v>900608.82257931109</v>
      </c>
      <c r="W807" s="3">
        <f t="shared" si="195"/>
        <v>-28293.271777334849</v>
      </c>
      <c r="X807" s="3">
        <f t="shared" si="196"/>
        <v>2325.8297183174273</v>
      </c>
      <c r="Y807" s="3">
        <f t="shared" si="197"/>
        <v>12013928.608128384</v>
      </c>
      <c r="Z807" s="3">
        <f t="shared" si="198"/>
        <v>-891945.78221486893</v>
      </c>
      <c r="AA807" s="3">
        <f t="shared" si="199"/>
        <v>12046993.312840201</v>
      </c>
      <c r="AB807" s="3">
        <f t="shared" si="200"/>
        <v>11973928.608128384</v>
      </c>
      <c r="AC807" s="3">
        <f t="shared" si="201"/>
        <v>-889445.78221486893</v>
      </c>
      <c r="AD807" s="3">
        <f t="shared" si="202"/>
        <v>12006918.010549383</v>
      </c>
      <c r="AE807" s="3">
        <f t="shared" si="203"/>
        <v>11988928.608128384</v>
      </c>
      <c r="AF807" s="3">
        <f t="shared" si="207"/>
        <v>-914445.78221486893</v>
      </c>
      <c r="AG807" s="3">
        <f t="shared" si="204"/>
        <v>12023752.336912539</v>
      </c>
      <c r="AH807" s="3">
        <f t="shared" si="205"/>
        <v>8.451471290457516E-3</v>
      </c>
      <c r="AI807" s="3">
        <f t="shared" si="206"/>
        <v>-6.348447211258374E-4</v>
      </c>
    </row>
    <row r="808" spans="19:35" x14ac:dyDescent="0.3">
      <c r="S808" s="6">
        <v>791</v>
      </c>
      <c r="T808" s="4">
        <f t="shared" si="192"/>
        <v>395.5</v>
      </c>
      <c r="U808" s="3">
        <f t="shared" si="193"/>
        <v>-12022223.548787987</v>
      </c>
      <c r="V808" s="3">
        <f t="shared" si="194"/>
        <v>901771.73727975856</v>
      </c>
      <c r="W808" s="3">
        <f t="shared" si="195"/>
        <v>-28289.929220439473</v>
      </c>
      <c r="X808" s="3">
        <f t="shared" si="196"/>
        <v>2325.5786372302218</v>
      </c>
      <c r="Y808" s="3">
        <f t="shared" si="197"/>
        <v>12028076.915012186</v>
      </c>
      <c r="Z808" s="3">
        <f t="shared" si="198"/>
        <v>-893108.82257931109</v>
      </c>
      <c r="AA808" s="3">
        <f t="shared" si="199"/>
        <v>12061188.898380544</v>
      </c>
      <c r="AB808" s="3">
        <f t="shared" si="200"/>
        <v>11988076.915012186</v>
      </c>
      <c r="AC808" s="3">
        <f t="shared" si="201"/>
        <v>-890608.82257931109</v>
      </c>
      <c r="AD808" s="3">
        <f t="shared" si="202"/>
        <v>12021113.600457497</v>
      </c>
      <c r="AE808" s="3">
        <f t="shared" si="203"/>
        <v>12003076.915012186</v>
      </c>
      <c r="AF808" s="3">
        <f t="shared" si="207"/>
        <v>-915608.82257931109</v>
      </c>
      <c r="AG808" s="3">
        <f t="shared" si="204"/>
        <v>12037948.120160826</v>
      </c>
      <c r="AH808" s="3">
        <f t="shared" si="205"/>
        <v>8.4315573504614143E-3</v>
      </c>
      <c r="AI808" s="3">
        <f t="shared" si="206"/>
        <v>-6.3341922458292265E-4</v>
      </c>
    </row>
    <row r="809" spans="19:35" x14ac:dyDescent="0.3">
      <c r="S809" s="6">
        <v>792</v>
      </c>
      <c r="T809" s="4">
        <f t="shared" si="192"/>
        <v>396</v>
      </c>
      <c r="U809" s="3">
        <f t="shared" si="193"/>
        <v>-12036368.511290317</v>
      </c>
      <c r="V809" s="3">
        <f t="shared" si="194"/>
        <v>902934.5264400189</v>
      </c>
      <c r="W809" s="3">
        <f t="shared" si="195"/>
        <v>-28286.590323728691</v>
      </c>
      <c r="X809" s="3">
        <f t="shared" si="196"/>
        <v>2325.3278032172871</v>
      </c>
      <c r="Y809" s="3">
        <f t="shared" si="197"/>
        <v>12042223.548787987</v>
      </c>
      <c r="Z809" s="3">
        <f t="shared" si="198"/>
        <v>-894271.73727975856</v>
      </c>
      <c r="AA809" s="3">
        <f t="shared" si="199"/>
        <v>12075382.807144511</v>
      </c>
      <c r="AB809" s="3">
        <f t="shared" si="200"/>
        <v>12002223.548787987</v>
      </c>
      <c r="AC809" s="3">
        <f t="shared" si="201"/>
        <v>-891771.73727975856</v>
      </c>
      <c r="AD809" s="3">
        <f t="shared" si="202"/>
        <v>12035307.513582354</v>
      </c>
      <c r="AE809" s="3">
        <f t="shared" si="203"/>
        <v>12017223.548787987</v>
      </c>
      <c r="AF809" s="3">
        <f t="shared" si="207"/>
        <v>-916771.73727975856</v>
      </c>
      <c r="AG809" s="3">
        <f t="shared" si="204"/>
        <v>12052142.226169564</v>
      </c>
      <c r="AH809" s="3">
        <f t="shared" si="205"/>
        <v>8.411716050463685E-3</v>
      </c>
      <c r="AI809" s="3">
        <f t="shared" si="206"/>
        <v>-6.3199868819658169E-4</v>
      </c>
    </row>
    <row r="810" spans="19:35" x14ac:dyDescent="0.3">
      <c r="S810" s="6">
        <v>793</v>
      </c>
      <c r="T810" s="4">
        <f t="shared" si="192"/>
        <v>396.5</v>
      </c>
      <c r="U810" s="3">
        <f t="shared" si="193"/>
        <v>-12050511.804349253</v>
      </c>
      <c r="V810" s="3">
        <f t="shared" si="194"/>
        <v>904097.19018362788</v>
      </c>
      <c r="W810" s="3">
        <f t="shared" si="195"/>
        <v>-28283.255078314683</v>
      </c>
      <c r="X810" s="3">
        <f t="shared" si="196"/>
        <v>2325.0772157374172</v>
      </c>
      <c r="Y810" s="3">
        <f t="shared" si="197"/>
        <v>12056368.511290317</v>
      </c>
      <c r="Z810" s="3">
        <f t="shared" si="198"/>
        <v>-895434.5264400189</v>
      </c>
      <c r="AA810" s="3">
        <f t="shared" si="199"/>
        <v>12089575.040967057</v>
      </c>
      <c r="AB810" s="3">
        <f t="shared" si="200"/>
        <v>12016368.511290317</v>
      </c>
      <c r="AC810" s="3">
        <f t="shared" si="201"/>
        <v>-892934.5264400189</v>
      </c>
      <c r="AD810" s="3">
        <f t="shared" si="202"/>
        <v>12049499.751758914</v>
      </c>
      <c r="AE810" s="3">
        <f t="shared" si="203"/>
        <v>12031368.511290317</v>
      </c>
      <c r="AF810" s="3">
        <f t="shared" si="207"/>
        <v>-917934.5264400189</v>
      </c>
      <c r="AG810" s="3">
        <f t="shared" si="204"/>
        <v>12066334.656775389</v>
      </c>
      <c r="AH810" s="3">
        <f t="shared" si="205"/>
        <v>8.3919470326730035E-3</v>
      </c>
      <c r="AI810" s="3">
        <f t="shared" si="206"/>
        <v>-6.3058308866460494E-4</v>
      </c>
    </row>
    <row r="811" spans="19:35" x14ac:dyDescent="0.3">
      <c r="S811" s="6">
        <v>794</v>
      </c>
      <c r="T811" s="4">
        <f t="shared" si="192"/>
        <v>397</v>
      </c>
      <c r="U811" s="3">
        <f t="shared" si="193"/>
        <v>-12064653.429790424</v>
      </c>
      <c r="V811" s="3">
        <f t="shared" si="194"/>
        <v>905259.72863385081</v>
      </c>
      <c r="W811" s="3">
        <f t="shared" si="195"/>
        <v>-28279.923475342712</v>
      </c>
      <c r="X811" s="3">
        <f t="shared" si="196"/>
        <v>2324.8268742512173</v>
      </c>
      <c r="Y811" s="3">
        <f t="shared" si="197"/>
        <v>12070511.804349253</v>
      </c>
      <c r="Z811" s="3">
        <f t="shared" si="198"/>
        <v>-896597.19018362788</v>
      </c>
      <c r="AA811" s="3">
        <f t="shared" si="199"/>
        <v>12103765.601678671</v>
      </c>
      <c r="AB811" s="3">
        <f t="shared" si="200"/>
        <v>12030511.804349253</v>
      </c>
      <c r="AC811" s="3">
        <f t="shared" si="201"/>
        <v>-894097.19018362788</v>
      </c>
      <c r="AD811" s="3">
        <f t="shared" si="202"/>
        <v>12063690.316817693</v>
      </c>
      <c r="AE811" s="3">
        <f t="shared" si="203"/>
        <v>12045511.804349253</v>
      </c>
      <c r="AF811" s="3">
        <f t="shared" si="207"/>
        <v>-919097.19018362788</v>
      </c>
      <c r="AG811" s="3">
        <f t="shared" si="204"/>
        <v>12080525.413810469</v>
      </c>
      <c r="AH811" s="3">
        <f t="shared" si="205"/>
        <v>8.3722499415150656E-3</v>
      </c>
      <c r="AI811" s="3">
        <f t="shared" si="206"/>
        <v>-6.2917240282240141E-4</v>
      </c>
    </row>
    <row r="812" spans="19:35" x14ac:dyDescent="0.3">
      <c r="S812" s="6">
        <v>795</v>
      </c>
      <c r="T812" s="4">
        <f t="shared" si="192"/>
        <v>397.5</v>
      </c>
      <c r="U812" s="3">
        <f t="shared" si="193"/>
        <v>-12078793.389435034</v>
      </c>
      <c r="V812" s="3">
        <f t="shared" si="194"/>
        <v>906422.14191368339</v>
      </c>
      <c r="W812" s="3">
        <f t="shared" si="195"/>
        <v>-28276.595505990961</v>
      </c>
      <c r="X812" s="3">
        <f t="shared" si="196"/>
        <v>2324.5767782210955</v>
      </c>
      <c r="Y812" s="3">
        <f t="shared" si="197"/>
        <v>12084653.429790424</v>
      </c>
      <c r="Z812" s="3">
        <f t="shared" si="198"/>
        <v>-897759.72863385081</v>
      </c>
      <c r="AA812" s="3">
        <f t="shared" si="199"/>
        <v>12117954.491105426</v>
      </c>
      <c r="AB812" s="3">
        <f t="shared" si="200"/>
        <v>12044653.429790424</v>
      </c>
      <c r="AC812" s="3">
        <f t="shared" si="201"/>
        <v>-895259.72863385081</v>
      </c>
      <c r="AD812" s="3">
        <f t="shared" si="202"/>
        <v>12077879.210584769</v>
      </c>
      <c r="AE812" s="3">
        <f t="shared" si="203"/>
        <v>12059653.429790424</v>
      </c>
      <c r="AF812" s="3">
        <f t="shared" si="207"/>
        <v>-920259.72863385081</v>
      </c>
      <c r="AG812" s="3">
        <f t="shared" si="204"/>
        <v>12094714.499102538</v>
      </c>
      <c r="AH812" s="3">
        <f t="shared" si="205"/>
        <v>8.3526244236161624E-3</v>
      </c>
      <c r="AI812" s="3">
        <f t="shared" si="206"/>
        <v>-6.2776660764202966E-4</v>
      </c>
    </row>
    <row r="813" spans="19:35" x14ac:dyDescent="0.3">
      <c r="S813" s="6">
        <v>796</v>
      </c>
      <c r="T813" s="4">
        <f t="shared" si="192"/>
        <v>398</v>
      </c>
      <c r="U813" s="3">
        <f t="shared" si="193"/>
        <v>-12092931.685099874</v>
      </c>
      <c r="V813" s="3">
        <f t="shared" si="194"/>
        <v>907584.43014585227</v>
      </c>
      <c r="W813" s="3">
        <f t="shared" si="195"/>
        <v>-28273.271161470362</v>
      </c>
      <c r="X813" s="3">
        <f t="shared" si="196"/>
        <v>2324.326927111254</v>
      </c>
      <c r="Y813" s="3">
        <f t="shared" si="197"/>
        <v>12098793.389435034</v>
      </c>
      <c r="Z813" s="3">
        <f t="shared" si="198"/>
        <v>-898922.14191368339</v>
      </c>
      <c r="AA813" s="3">
        <f t="shared" si="199"/>
        <v>12132141.711068971</v>
      </c>
      <c r="AB813" s="3">
        <f t="shared" si="200"/>
        <v>12058793.389435034</v>
      </c>
      <c r="AC813" s="3">
        <f t="shared" si="201"/>
        <v>-896422.14191368339</v>
      </c>
      <c r="AD813" s="3">
        <f t="shared" si="202"/>
        <v>12092066.434881806</v>
      </c>
      <c r="AE813" s="3">
        <f t="shared" si="203"/>
        <v>12073793.389435034</v>
      </c>
      <c r="AF813" s="3">
        <f t="shared" si="207"/>
        <v>-921422.14191368339</v>
      </c>
      <c r="AG813" s="3">
        <f t="shared" si="204"/>
        <v>12108901.914474901</v>
      </c>
      <c r="AH813" s="3">
        <f t="shared" si="205"/>
        <v>8.3330701277868069E-3</v>
      </c>
      <c r="AI813" s="3">
        <f t="shared" si="206"/>
        <v>-6.2636568023122946E-4</v>
      </c>
    </row>
    <row r="814" spans="19:35" x14ac:dyDescent="0.3">
      <c r="S814" s="6">
        <v>797</v>
      </c>
      <c r="T814" s="4">
        <f t="shared" si="192"/>
        <v>398.5</v>
      </c>
      <c r="U814" s="3">
        <f t="shared" si="193"/>
        <v>-12107068.318597341</v>
      </c>
      <c r="V814" s="3">
        <f t="shared" si="194"/>
        <v>908746.59345281648</v>
      </c>
      <c r="W814" s="3">
        <f t="shared" si="195"/>
        <v>-28269.950433024438</v>
      </c>
      <c r="X814" s="3">
        <f t="shared" si="196"/>
        <v>2324.077320387682</v>
      </c>
      <c r="Y814" s="3">
        <f t="shared" si="197"/>
        <v>12112931.685099874</v>
      </c>
      <c r="Z814" s="3">
        <f t="shared" si="198"/>
        <v>-900084.43014585227</v>
      </c>
      <c r="AA814" s="3">
        <f t="shared" si="199"/>
        <v>12146327.263386551</v>
      </c>
      <c r="AB814" s="3">
        <f t="shared" si="200"/>
        <v>12072931.685099874</v>
      </c>
      <c r="AC814" s="3">
        <f t="shared" si="201"/>
        <v>-897584.43014585227</v>
      </c>
      <c r="AD814" s="3">
        <f t="shared" si="202"/>
        <v>12106251.991526062</v>
      </c>
      <c r="AE814" s="3">
        <f t="shared" si="203"/>
        <v>12087931.685099874</v>
      </c>
      <c r="AF814" s="3">
        <f t="shared" si="207"/>
        <v>-922584.43014585227</v>
      </c>
      <c r="AG814" s="3">
        <f t="shared" si="204"/>
        <v>12123087.661746452</v>
      </c>
      <c r="AH814" s="3">
        <f t="shared" si="205"/>
        <v>8.3135867050052117E-3</v>
      </c>
      <c r="AI814" s="3">
        <f t="shared" si="206"/>
        <v>-6.2496959783244225E-4</v>
      </c>
    </row>
    <row r="815" spans="19:35" x14ac:dyDescent="0.3">
      <c r="S815" s="6">
        <v>798</v>
      </c>
      <c r="T815" s="4">
        <f t="shared" si="192"/>
        <v>399</v>
      </c>
      <c r="U815" s="3">
        <f t="shared" si="193"/>
        <v>-12121203.291735455</v>
      </c>
      <c r="V815" s="3">
        <f t="shared" si="194"/>
        <v>909908.63195676787</v>
      </c>
      <c r="W815" s="3">
        <f t="shared" si="195"/>
        <v>-28266.633311929141</v>
      </c>
      <c r="X815" s="3">
        <f t="shared" si="196"/>
        <v>2323.8279575181468</v>
      </c>
      <c r="Y815" s="3">
        <f t="shared" si="197"/>
        <v>12127068.318597341</v>
      </c>
      <c r="Z815" s="3">
        <f t="shared" si="198"/>
        <v>-901246.59345281648</v>
      </c>
      <c r="AA815" s="3">
        <f t="shared" si="199"/>
        <v>12160511.149871031</v>
      </c>
      <c r="AB815" s="3">
        <f t="shared" si="200"/>
        <v>12087068.318597341</v>
      </c>
      <c r="AC815" s="3">
        <f t="shared" si="201"/>
        <v>-898746.59345281648</v>
      </c>
      <c r="AD815" s="3">
        <f t="shared" si="202"/>
        <v>12120435.882330412</v>
      </c>
      <c r="AE815" s="3">
        <f t="shared" si="203"/>
        <v>12102068.318597341</v>
      </c>
      <c r="AF815" s="3">
        <f t="shared" si="207"/>
        <v>-923746.59345281648</v>
      </c>
      <c r="AG815" s="3">
        <f t="shared" si="204"/>
        <v>12137271.74273169</v>
      </c>
      <c r="AH815" s="3">
        <f t="shared" si="205"/>
        <v>8.2941738084015369E-3</v>
      </c>
      <c r="AI815" s="3">
        <f t="shared" si="206"/>
        <v>-6.2357833782188208E-4</v>
      </c>
    </row>
    <row r="816" spans="19:35" x14ac:dyDescent="0.3">
      <c r="S816" s="6">
        <v>799</v>
      </c>
      <c r="T816" s="4">
        <f t="shared" si="192"/>
        <v>399.5</v>
      </c>
      <c r="U816" s="3">
        <f t="shared" si="193"/>
        <v>-12135336.606317876</v>
      </c>
      <c r="V816" s="3">
        <f t="shared" si="194"/>
        <v>911070.5457796324</v>
      </c>
      <c r="W816" s="3">
        <f t="shared" si="195"/>
        <v>-28263.319789492685</v>
      </c>
      <c r="X816" s="3">
        <f t="shared" si="196"/>
        <v>2323.5788379721871</v>
      </c>
      <c r="Y816" s="3">
        <f t="shared" si="197"/>
        <v>12141203.291735455</v>
      </c>
      <c r="Z816" s="3">
        <f t="shared" si="198"/>
        <v>-902408.63195676787</v>
      </c>
      <c r="AA816" s="3">
        <f t="shared" si="199"/>
        <v>12174693.3723309</v>
      </c>
      <c r="AB816" s="3">
        <f t="shared" si="200"/>
        <v>12101203.291735455</v>
      </c>
      <c r="AC816" s="3">
        <f t="shared" si="201"/>
        <v>-899908.63195676787</v>
      </c>
      <c r="AD816" s="3">
        <f t="shared" si="202"/>
        <v>12134618.109103365</v>
      </c>
      <c r="AE816" s="3">
        <f t="shared" si="203"/>
        <v>12116203.291735455</v>
      </c>
      <c r="AF816" s="3">
        <f t="shared" si="207"/>
        <v>-924908.63195676787</v>
      </c>
      <c r="AG816" s="3">
        <f t="shared" si="204"/>
        <v>12151454.159240745</v>
      </c>
      <c r="AH816" s="3">
        <f t="shared" si="205"/>
        <v>8.2748310932416642E-3</v>
      </c>
      <c r="AI816" s="3">
        <f t="shared" si="206"/>
        <v>-6.2219187770857338E-4</v>
      </c>
    </row>
    <row r="817" spans="19:35" x14ac:dyDescent="0.3">
      <c r="S817" s="6">
        <v>800</v>
      </c>
      <c r="T817" s="4">
        <f t="shared" si="192"/>
        <v>400</v>
      </c>
      <c r="U817" s="3">
        <f t="shared" si="193"/>
        <v>-12149468.264143914</v>
      </c>
      <c r="V817" s="3">
        <f t="shared" si="194"/>
        <v>912232.33504307049</v>
      </c>
      <c r="W817" s="3">
        <f t="shared" si="195"/>
        <v>-28260.009857055389</v>
      </c>
      <c r="X817" s="3">
        <f t="shared" si="196"/>
        <v>2323.3299612211035</v>
      </c>
      <c r="Y817" s="3">
        <f t="shared" si="197"/>
        <v>12155336.606317876</v>
      </c>
      <c r="Z817" s="3">
        <f t="shared" si="198"/>
        <v>-903570.5457796324</v>
      </c>
      <c r="AA817" s="3">
        <f t="shared" si="199"/>
        <v>12188873.932570305</v>
      </c>
      <c r="AB817" s="3">
        <f t="shared" si="200"/>
        <v>12115336.606317876</v>
      </c>
      <c r="AC817" s="3">
        <f t="shared" si="201"/>
        <v>-901070.5457796324</v>
      </c>
      <c r="AD817" s="3">
        <f t="shared" si="202"/>
        <v>12148798.673649075</v>
      </c>
      <c r="AE817" s="3">
        <f t="shared" si="203"/>
        <v>12130336.606317876</v>
      </c>
      <c r="AF817" s="3">
        <f t="shared" si="207"/>
        <v>-926070.5457796324</v>
      </c>
      <c r="AG817" s="3">
        <f t="shared" si="204"/>
        <v>12165634.913079385</v>
      </c>
      <c r="AH817" s="3">
        <f t="shared" si="205"/>
        <v>8.255558216911478E-3</v>
      </c>
      <c r="AI817" s="3">
        <f t="shared" si="206"/>
        <v>-6.2081019513342077E-4</v>
      </c>
    </row>
    <row r="818" spans="19:35" x14ac:dyDescent="0.3">
      <c r="S818" s="6">
        <v>801</v>
      </c>
      <c r="T818" s="4">
        <f t="shared" si="192"/>
        <v>400.5</v>
      </c>
      <c r="U818" s="3">
        <f t="shared" si="193"/>
        <v>-12163598.267008552</v>
      </c>
      <c r="V818" s="3">
        <f t="shared" si="194"/>
        <v>913393.99986847851</v>
      </c>
      <c r="W818" s="3">
        <f t="shared" si="195"/>
        <v>-28256.703505989517</v>
      </c>
      <c r="X818" s="3">
        <f t="shared" si="196"/>
        <v>2323.0813267379526</v>
      </c>
      <c r="Y818" s="3">
        <f t="shared" si="197"/>
        <v>12169468.264143914</v>
      </c>
      <c r="Z818" s="3">
        <f t="shared" si="198"/>
        <v>-904732.33504307049</v>
      </c>
      <c r="AA818" s="3">
        <f t="shared" si="199"/>
        <v>12203052.832389049</v>
      </c>
      <c r="AB818" s="3">
        <f t="shared" si="200"/>
        <v>12129468.264143914</v>
      </c>
      <c r="AC818" s="3">
        <f t="shared" si="201"/>
        <v>-902232.33504307049</v>
      </c>
      <c r="AD818" s="3">
        <f t="shared" si="202"/>
        <v>12162977.577767365</v>
      </c>
      <c r="AE818" s="3">
        <f t="shared" si="203"/>
        <v>12144468.264143914</v>
      </c>
      <c r="AF818" s="3">
        <f t="shared" si="207"/>
        <v>-927232.33504307049</v>
      </c>
      <c r="AG818" s="3">
        <f t="shared" si="204"/>
        <v>12179814.00604903</v>
      </c>
      <c r="AH818" s="3">
        <f t="shared" si="205"/>
        <v>8.2363548389010957E-3</v>
      </c>
      <c r="AI818" s="3">
        <f t="shared" si="206"/>
        <v>-6.1943326786827364E-4</v>
      </c>
    </row>
    <row r="819" spans="19:35" x14ac:dyDescent="0.3">
      <c r="S819" s="6">
        <v>802</v>
      </c>
      <c r="T819" s="4">
        <f t="shared" si="192"/>
        <v>401</v>
      </c>
      <c r="U819" s="3">
        <f t="shared" si="193"/>
        <v>-12177726.616702458</v>
      </c>
      <c r="V819" s="3">
        <f t="shared" si="194"/>
        <v>914555.54037698917</v>
      </c>
      <c r="W819" s="3">
        <f t="shared" si="195"/>
        <v>-28253.400727699118</v>
      </c>
      <c r="X819" s="3">
        <f t="shared" si="196"/>
        <v>2322.8329339975376</v>
      </c>
      <c r="Y819" s="3">
        <f t="shared" si="197"/>
        <v>12183598.267008552</v>
      </c>
      <c r="Z819" s="3">
        <f t="shared" si="198"/>
        <v>-905893.99986847851</v>
      </c>
      <c r="AA819" s="3">
        <f t="shared" si="199"/>
        <v>12217230.073582618</v>
      </c>
      <c r="AB819" s="3">
        <f t="shared" si="200"/>
        <v>12143598.267008552</v>
      </c>
      <c r="AC819" s="3">
        <f t="shared" si="201"/>
        <v>-903393.99986847851</v>
      </c>
      <c r="AD819" s="3">
        <f t="shared" si="202"/>
        <v>12177154.823253727</v>
      </c>
      <c r="AE819" s="3">
        <f t="shared" si="203"/>
        <v>12158598.267008552</v>
      </c>
      <c r="AF819" s="3">
        <f t="shared" si="207"/>
        <v>-928393.99986847851</v>
      </c>
      <c r="AG819" s="3">
        <f t="shared" si="204"/>
        <v>12193991.439946773</v>
      </c>
      <c r="AH819" s="3">
        <f t="shared" si="205"/>
        <v>8.2172206207893513E-3</v>
      </c>
      <c r="AI819" s="3">
        <f t="shared" si="206"/>
        <v>-6.1806107381500743E-4</v>
      </c>
    </row>
    <row r="820" spans="19:35" x14ac:dyDescent="0.3">
      <c r="S820" s="6">
        <v>803</v>
      </c>
      <c r="T820" s="4">
        <f t="shared" si="192"/>
        <v>401.5</v>
      </c>
      <c r="U820" s="3">
        <f t="shared" si="193"/>
        <v>-12191853.315012002</v>
      </c>
      <c r="V820" s="3">
        <f t="shared" si="194"/>
        <v>915716.95668947266</v>
      </c>
      <c r="W820" s="3">
        <f t="shared" si="195"/>
        <v>-28250.101513619869</v>
      </c>
      <c r="X820" s="3">
        <f t="shared" si="196"/>
        <v>2322.584782476401</v>
      </c>
      <c r="Y820" s="3">
        <f t="shared" si="197"/>
        <v>12197726.616702458</v>
      </c>
      <c r="Z820" s="3">
        <f t="shared" si="198"/>
        <v>-907055.54037698917</v>
      </c>
      <c r="AA820" s="3">
        <f t="shared" si="199"/>
        <v>12231405.657942189</v>
      </c>
      <c r="AB820" s="3">
        <f t="shared" si="200"/>
        <v>12157726.616702458</v>
      </c>
      <c r="AC820" s="3">
        <f t="shared" si="201"/>
        <v>-904555.54037698917</v>
      </c>
      <c r="AD820" s="3">
        <f t="shared" si="202"/>
        <v>12191330.411899356</v>
      </c>
      <c r="AE820" s="3">
        <f t="shared" si="203"/>
        <v>12172726.616702458</v>
      </c>
      <c r="AF820" s="3">
        <f t="shared" si="207"/>
        <v>-929555.54037698917</v>
      </c>
      <c r="AG820" s="3">
        <f t="shared" si="204"/>
        <v>12208167.216565393</v>
      </c>
      <c r="AH820" s="3">
        <f t="shared" si="205"/>
        <v>8.1981552262282691E-3</v>
      </c>
      <c r="AI820" s="3">
        <f t="shared" si="206"/>
        <v>-6.1669359100460113E-4</v>
      </c>
    </row>
    <row r="821" spans="19:35" x14ac:dyDescent="0.3">
      <c r="S821" s="6">
        <v>804</v>
      </c>
      <c r="T821" s="4">
        <f t="shared" si="192"/>
        <v>402</v>
      </c>
      <c r="U821" s="3">
        <f t="shared" si="193"/>
        <v>-12205978.363719273</v>
      </c>
      <c r="V821" s="3">
        <f t="shared" si="194"/>
        <v>916878.24892653746</v>
      </c>
      <c r="W821" s="3">
        <f t="shared" si="195"/>
        <v>-28246.805855218925</v>
      </c>
      <c r="X821" s="3">
        <f t="shared" si="196"/>
        <v>2322.3368716528171</v>
      </c>
      <c r="Y821" s="3">
        <f t="shared" si="197"/>
        <v>12211853.315012002</v>
      </c>
      <c r="Z821" s="3">
        <f t="shared" si="198"/>
        <v>-908216.95668947266</v>
      </c>
      <c r="AA821" s="3">
        <f t="shared" si="199"/>
        <v>12245579.587254656</v>
      </c>
      <c r="AB821" s="3">
        <f t="shared" si="200"/>
        <v>12171853.315012002</v>
      </c>
      <c r="AC821" s="3">
        <f t="shared" si="201"/>
        <v>-905716.95668947266</v>
      </c>
      <c r="AD821" s="3">
        <f t="shared" si="202"/>
        <v>12205504.345491156</v>
      </c>
      <c r="AE821" s="3">
        <f t="shared" si="203"/>
        <v>12186853.315012002</v>
      </c>
      <c r="AF821" s="3">
        <f t="shared" si="207"/>
        <v>-930716.95668947266</v>
      </c>
      <c r="AG821" s="3">
        <f t="shared" si="204"/>
        <v>12222341.337693378</v>
      </c>
      <c r="AH821" s="3">
        <f t="shared" si="205"/>
        <v>8.1791583209278665E-3</v>
      </c>
      <c r="AI821" s="3">
        <f t="shared" si="206"/>
        <v>-6.1533079759623752E-4</v>
      </c>
    </row>
    <row r="822" spans="19:35" x14ac:dyDescent="0.3">
      <c r="S822" s="6">
        <v>805</v>
      </c>
      <c r="T822" s="4">
        <f t="shared" si="192"/>
        <v>402.5</v>
      </c>
      <c r="U822" s="3">
        <f t="shared" si="193"/>
        <v>-12220101.764602093</v>
      </c>
      <c r="V822" s="3">
        <f t="shared" si="194"/>
        <v>918039.41720853117</v>
      </c>
      <c r="W822" s="3">
        <f t="shared" si="195"/>
        <v>-28243.51374399475</v>
      </c>
      <c r="X822" s="3">
        <f t="shared" si="196"/>
        <v>2322.0892010067846</v>
      </c>
      <c r="Y822" s="3">
        <f t="shared" si="197"/>
        <v>12225978.363719273</v>
      </c>
      <c r="Z822" s="3">
        <f t="shared" si="198"/>
        <v>-909378.24892653746</v>
      </c>
      <c r="AA822" s="3">
        <f t="shared" si="199"/>
        <v>12259751.863302637</v>
      </c>
      <c r="AB822" s="3">
        <f t="shared" si="200"/>
        <v>12185978.363719273</v>
      </c>
      <c r="AC822" s="3">
        <f t="shared" si="201"/>
        <v>-906878.24892653746</v>
      </c>
      <c r="AD822" s="3">
        <f t="shared" si="202"/>
        <v>12219676.625811761</v>
      </c>
      <c r="AE822" s="3">
        <f t="shared" si="203"/>
        <v>12200978.363719273</v>
      </c>
      <c r="AF822" s="3">
        <f t="shared" si="207"/>
        <v>-931878.24892653746</v>
      </c>
      <c r="AG822" s="3">
        <f t="shared" si="204"/>
        <v>12236513.805114929</v>
      </c>
      <c r="AH822" s="3">
        <f t="shared" si="205"/>
        <v>8.1602295726411304E-3</v>
      </c>
      <c r="AI822" s="3">
        <f t="shared" si="206"/>
        <v>-6.139726718764134E-4</v>
      </c>
    </row>
    <row r="823" spans="19:35" x14ac:dyDescent="0.3">
      <c r="S823" s="6">
        <v>806</v>
      </c>
      <c r="T823" s="4">
        <f t="shared" si="192"/>
        <v>403</v>
      </c>
      <c r="U823" s="3">
        <f t="shared" si="193"/>
        <v>-12234223.519434033</v>
      </c>
      <c r="V823" s="3">
        <f t="shared" si="194"/>
        <v>919200.46165554144</v>
      </c>
      <c r="W823" s="3">
        <f t="shared" si="195"/>
        <v>-28240.225171476977</v>
      </c>
      <c r="X823" s="3">
        <f t="shared" si="196"/>
        <v>2321.8417700200184</v>
      </c>
      <c r="Y823" s="3">
        <f t="shared" si="197"/>
        <v>12240101.764602093</v>
      </c>
      <c r="Z823" s="3">
        <f t="shared" si="198"/>
        <v>-910539.41720853117</v>
      </c>
      <c r="AA823" s="3">
        <f t="shared" si="199"/>
        <v>12273922.487864494</v>
      </c>
      <c r="AB823" s="3">
        <f t="shared" si="200"/>
        <v>12200101.764602093</v>
      </c>
      <c r="AC823" s="3">
        <f t="shared" si="201"/>
        <v>-908039.41720853117</v>
      </c>
      <c r="AD823" s="3">
        <f t="shared" si="202"/>
        <v>12233847.254639544</v>
      </c>
      <c r="AE823" s="3">
        <f t="shared" si="203"/>
        <v>12215101.764602093</v>
      </c>
      <c r="AF823" s="3">
        <f t="shared" si="207"/>
        <v>-933039.41720853117</v>
      </c>
      <c r="AG823" s="3">
        <f t="shared" si="204"/>
        <v>12250684.620609984</v>
      </c>
      <c r="AH823" s="3">
        <f t="shared" si="205"/>
        <v>8.1413686511485027E-3</v>
      </c>
      <c r="AI823" s="3">
        <f t="shared" si="206"/>
        <v>-6.1261919225801052E-4</v>
      </c>
    </row>
    <row r="824" spans="19:35" x14ac:dyDescent="0.3">
      <c r="S824" s="6">
        <v>807</v>
      </c>
      <c r="T824" s="4">
        <f t="shared" si="192"/>
        <v>403.5</v>
      </c>
      <c r="U824" s="3">
        <f t="shared" si="193"/>
        <v>-12248343.629984429</v>
      </c>
      <c r="V824" s="3">
        <f t="shared" si="194"/>
        <v>920361.38238739665</v>
      </c>
      <c r="W824" s="3">
        <f t="shared" si="195"/>
        <v>-28236.940129226237</v>
      </c>
      <c r="X824" s="3">
        <f t="shared" si="196"/>
        <v>2321.5945781759424</v>
      </c>
      <c r="Y824" s="3">
        <f t="shared" si="197"/>
        <v>12254223.519434033</v>
      </c>
      <c r="Z824" s="3">
        <f t="shared" si="198"/>
        <v>-911700.46165554144</v>
      </c>
      <c r="AA824" s="3">
        <f t="shared" si="199"/>
        <v>12288091.462714344</v>
      </c>
      <c r="AB824" s="3">
        <f t="shared" si="200"/>
        <v>12214223.519434033</v>
      </c>
      <c r="AC824" s="3">
        <f t="shared" si="201"/>
        <v>-909200.46165554144</v>
      </c>
      <c r="AD824" s="3">
        <f t="shared" si="202"/>
        <v>12248016.233748637</v>
      </c>
      <c r="AE824" s="3">
        <f t="shared" si="203"/>
        <v>12229223.519434033</v>
      </c>
      <c r="AF824" s="3">
        <f t="shared" si="207"/>
        <v>-934200.46165554144</v>
      </c>
      <c r="AG824" s="3">
        <f t="shared" si="204"/>
        <v>12264853.785954235</v>
      </c>
      <c r="AH824" s="3">
        <f t="shared" si="205"/>
        <v>8.1225752282436513E-3</v>
      </c>
      <c r="AI824" s="3">
        <f t="shared" si="206"/>
        <v>-6.1127033727946219E-4</v>
      </c>
    </row>
    <row r="825" spans="19:35" x14ac:dyDescent="0.3">
      <c r="S825" s="6">
        <v>808</v>
      </c>
      <c r="T825" s="4">
        <f t="shared" si="192"/>
        <v>404</v>
      </c>
      <c r="U825" s="3">
        <f t="shared" si="193"/>
        <v>-12262462.098018399</v>
      </c>
      <c r="V825" s="3">
        <f t="shared" si="194"/>
        <v>921522.17952366709</v>
      </c>
      <c r="W825" s="3">
        <f t="shared" si="195"/>
        <v>-28233.658608834026</v>
      </c>
      <c r="X825" s="3">
        <f t="shared" si="196"/>
        <v>2321.3476249596815</v>
      </c>
      <c r="Y825" s="3">
        <f t="shared" si="197"/>
        <v>12268343.629984429</v>
      </c>
      <c r="Z825" s="3">
        <f t="shared" si="198"/>
        <v>-912861.38238739665</v>
      </c>
      <c r="AA825" s="3">
        <f t="shared" si="199"/>
        <v>12302258.789622081</v>
      </c>
      <c r="AB825" s="3">
        <f t="shared" si="200"/>
        <v>12228343.629984429</v>
      </c>
      <c r="AC825" s="3">
        <f t="shared" si="201"/>
        <v>-910361.38238739665</v>
      </c>
      <c r="AD825" s="3">
        <f t="shared" si="202"/>
        <v>12262183.564908944</v>
      </c>
      <c r="AE825" s="3">
        <f t="shared" si="203"/>
        <v>12243343.629984429</v>
      </c>
      <c r="AF825" s="3">
        <f t="shared" si="207"/>
        <v>-935361.38238739665</v>
      </c>
      <c r="AG825" s="3">
        <f t="shared" si="204"/>
        <v>12279021.302919136</v>
      </c>
      <c r="AH825" s="3">
        <f t="shared" si="205"/>
        <v>8.1038489777179503E-3</v>
      </c>
      <c r="AI825" s="3">
        <f t="shared" si="206"/>
        <v>-6.0992608560381755E-4</v>
      </c>
    </row>
    <row r="826" spans="19:35" x14ac:dyDescent="0.3">
      <c r="S826" s="6">
        <v>809</v>
      </c>
      <c r="T826" s="4">
        <f t="shared" si="192"/>
        <v>404.5</v>
      </c>
      <c r="U826" s="3">
        <f t="shared" si="193"/>
        <v>-12276578.925296854</v>
      </c>
      <c r="V826" s="3">
        <f t="shared" si="194"/>
        <v>922682.85318366543</v>
      </c>
      <c r="W826" s="3">
        <f t="shared" si="195"/>
        <v>-28230.380601922541</v>
      </c>
      <c r="X826" s="3">
        <f t="shared" si="196"/>
        <v>2321.1009098580548</v>
      </c>
      <c r="Y826" s="3">
        <f t="shared" si="197"/>
        <v>12282462.098018399</v>
      </c>
      <c r="Z826" s="3">
        <f t="shared" si="198"/>
        <v>-914022.17952366709</v>
      </c>
      <c r="AA826" s="3">
        <f t="shared" si="199"/>
        <v>12316424.470353387</v>
      </c>
      <c r="AB826" s="3">
        <f t="shared" si="200"/>
        <v>12242462.098018399</v>
      </c>
      <c r="AC826" s="3">
        <f t="shared" si="201"/>
        <v>-911522.17952366709</v>
      </c>
      <c r="AD826" s="3">
        <f t="shared" si="202"/>
        <v>12276349.249886166</v>
      </c>
      <c r="AE826" s="3">
        <f t="shared" si="203"/>
        <v>12257462.098018399</v>
      </c>
      <c r="AF826" s="3">
        <f t="shared" si="207"/>
        <v>-936522.17952366709</v>
      </c>
      <c r="AG826" s="3">
        <f t="shared" si="204"/>
        <v>12293187.173271924</v>
      </c>
      <c r="AH826" s="3">
        <f t="shared" si="205"/>
        <v>8.0851895753465911E-3</v>
      </c>
      <c r="AI826" s="3">
        <f t="shared" si="206"/>
        <v>-6.0858641601792968E-4</v>
      </c>
    </row>
    <row r="827" spans="19:35" x14ac:dyDescent="0.3">
      <c r="S827" s="6">
        <v>810</v>
      </c>
      <c r="T827" s="4">
        <f t="shared" si="192"/>
        <v>405</v>
      </c>
      <c r="U827" s="3">
        <f t="shared" si="193"/>
        <v>-12290694.113576518</v>
      </c>
      <c r="V827" s="3">
        <f t="shared" si="194"/>
        <v>923843.40348644787</v>
      </c>
      <c r="W827" s="3">
        <f t="shared" si="195"/>
        <v>-28227.106100144527</v>
      </c>
      <c r="X827" s="3">
        <f t="shared" si="196"/>
        <v>2320.8544323595675</v>
      </c>
      <c r="Y827" s="3">
        <f t="shared" si="197"/>
        <v>12296578.925296854</v>
      </c>
      <c r="Z827" s="3">
        <f t="shared" si="198"/>
        <v>-915182.85318366543</v>
      </c>
      <c r="AA827" s="3">
        <f t="shared" si="199"/>
        <v>12330588.50666975</v>
      </c>
      <c r="AB827" s="3">
        <f t="shared" si="200"/>
        <v>12256578.925296854</v>
      </c>
      <c r="AC827" s="3">
        <f t="shared" si="201"/>
        <v>-912682.85318366543</v>
      </c>
      <c r="AD827" s="3">
        <f t="shared" si="202"/>
        <v>12290513.290441798</v>
      </c>
      <c r="AE827" s="3">
        <f t="shared" si="203"/>
        <v>12271578.925296854</v>
      </c>
      <c r="AF827" s="3">
        <f t="shared" si="207"/>
        <v>-937682.85318366543</v>
      </c>
      <c r="AG827" s="3">
        <f t="shared" si="204"/>
        <v>12307351.398775633</v>
      </c>
      <c r="AH827" s="3">
        <f t="shared" si="205"/>
        <v>8.0665966988733469E-3</v>
      </c>
      <c r="AI827" s="3">
        <f t="shared" si="206"/>
        <v>-6.0725130743153667E-4</v>
      </c>
    </row>
    <row r="828" spans="19:35" x14ac:dyDescent="0.3">
      <c r="S828" s="6">
        <v>811</v>
      </c>
      <c r="T828" s="4">
        <f t="shared" si="192"/>
        <v>405.5</v>
      </c>
      <c r="U828" s="3">
        <f t="shared" si="193"/>
        <v>-12304807.664609943</v>
      </c>
      <c r="V828" s="3">
        <f t="shared" si="194"/>
        <v>925003.83055081486</v>
      </c>
      <c r="W828" s="3">
        <f t="shared" si="195"/>
        <v>-28223.835095183134</v>
      </c>
      <c r="X828" s="3">
        <f t="shared" si="196"/>
        <v>2320.608191954404</v>
      </c>
      <c r="Y828" s="3">
        <f t="shared" si="197"/>
        <v>12310694.113576518</v>
      </c>
      <c r="Z828" s="3">
        <f t="shared" si="198"/>
        <v>-916343.40348644787</v>
      </c>
      <c r="AA828" s="3">
        <f t="shared" si="199"/>
        <v>12344750.900328474</v>
      </c>
      <c r="AB828" s="3">
        <f t="shared" si="200"/>
        <v>12270694.113576518</v>
      </c>
      <c r="AC828" s="3">
        <f t="shared" si="201"/>
        <v>-913843.40348644787</v>
      </c>
      <c r="AD828" s="3">
        <f t="shared" si="202"/>
        <v>12304675.688333159</v>
      </c>
      <c r="AE828" s="3">
        <f t="shared" si="203"/>
        <v>12285694.113576518</v>
      </c>
      <c r="AF828" s="3">
        <f t="shared" si="207"/>
        <v>-938843.40348644787</v>
      </c>
      <c r="AG828" s="3">
        <f t="shared" si="204"/>
        <v>12321513.981189111</v>
      </c>
      <c r="AH828" s="3">
        <f t="shared" si="205"/>
        <v>8.0480700279966649E-3</v>
      </c>
      <c r="AI828" s="3">
        <f t="shared" si="206"/>
        <v>-6.0592073887644248E-4</v>
      </c>
    </row>
    <row r="829" spans="19:35" x14ac:dyDescent="0.3">
      <c r="S829" s="6">
        <v>812</v>
      </c>
      <c r="T829" s="4">
        <f t="shared" si="192"/>
        <v>406</v>
      </c>
      <c r="U829" s="3">
        <f t="shared" si="193"/>
        <v>-12318919.580145516</v>
      </c>
      <c r="V829" s="3">
        <f t="shared" si="194"/>
        <v>926164.13449531188</v>
      </c>
      <c r="W829" s="3">
        <f t="shared" si="195"/>
        <v>-28220.567578751768</v>
      </c>
      <c r="X829" s="3">
        <f t="shared" si="196"/>
        <v>2320.3621881344202</v>
      </c>
      <c r="Y829" s="3">
        <f t="shared" si="197"/>
        <v>12324807.664609943</v>
      </c>
      <c r="Z829" s="3">
        <f t="shared" si="198"/>
        <v>-917503.83055081486</v>
      </c>
      <c r="AA829" s="3">
        <f t="shared" si="199"/>
        <v>12358911.653082702</v>
      </c>
      <c r="AB829" s="3">
        <f t="shared" si="200"/>
        <v>12284807.664609943</v>
      </c>
      <c r="AC829" s="3">
        <f t="shared" si="201"/>
        <v>-915003.83055081486</v>
      </c>
      <c r="AD829" s="3">
        <f t="shared" si="202"/>
        <v>12318836.445313407</v>
      </c>
      <c r="AE829" s="3">
        <f t="shared" si="203"/>
        <v>12299807.664609943</v>
      </c>
      <c r="AF829" s="3">
        <f t="shared" si="207"/>
        <v>-940003.83055081486</v>
      </c>
      <c r="AG829" s="3">
        <f t="shared" si="204"/>
        <v>12335674.922267031</v>
      </c>
      <c r="AH829" s="3">
        <f t="shared" si="205"/>
        <v>8.0296092443552427E-3</v>
      </c>
      <c r="AI829" s="3">
        <f t="shared" si="206"/>
        <v>-6.0459468950565653E-4</v>
      </c>
    </row>
    <row r="830" spans="19:35" x14ac:dyDescent="0.3">
      <c r="S830" s="6">
        <v>813</v>
      </c>
      <c r="T830" s="4">
        <f t="shared" si="192"/>
        <v>406.5</v>
      </c>
      <c r="U830" s="3">
        <f t="shared" si="193"/>
        <v>-12333029.861927489</v>
      </c>
      <c r="V830" s="3">
        <f t="shared" si="194"/>
        <v>927324.31543823041</v>
      </c>
      <c r="W830" s="3">
        <f t="shared" si="195"/>
        <v>-28217.303542593938</v>
      </c>
      <c r="X830" s="3">
        <f t="shared" si="196"/>
        <v>2320.1164203931362</v>
      </c>
      <c r="Y830" s="3">
        <f t="shared" si="197"/>
        <v>12338919.580145516</v>
      </c>
      <c r="Z830" s="3">
        <f t="shared" si="198"/>
        <v>-918664.13449531188</v>
      </c>
      <c r="AA830" s="3">
        <f t="shared" si="199"/>
        <v>12373070.766681423</v>
      </c>
      <c r="AB830" s="3">
        <f t="shared" si="200"/>
        <v>12298919.580145516</v>
      </c>
      <c r="AC830" s="3">
        <f t="shared" si="201"/>
        <v>-916164.13449531188</v>
      </c>
      <c r="AD830" s="3">
        <f t="shared" si="202"/>
        <v>12332995.563131541</v>
      </c>
      <c r="AE830" s="3">
        <f t="shared" si="203"/>
        <v>12313919.580145516</v>
      </c>
      <c r="AF830" s="3">
        <f t="shared" si="207"/>
        <v>-941164.13449531188</v>
      </c>
      <c r="AG830" s="3">
        <f t="shared" si="204"/>
        <v>12349834.223759905</v>
      </c>
      <c r="AH830" s="3">
        <f t="shared" si="205"/>
        <v>8.0112140315138844E-3</v>
      </c>
      <c r="AI830" s="3">
        <f t="shared" si="206"/>
        <v>-6.032731385925505E-4</v>
      </c>
    </row>
    <row r="831" spans="19:35" x14ac:dyDescent="0.3">
      <c r="S831" s="6">
        <v>814</v>
      </c>
      <c r="T831" s="4">
        <f t="shared" si="192"/>
        <v>407</v>
      </c>
      <c r="U831" s="3">
        <f t="shared" si="193"/>
        <v>-12347138.511695983</v>
      </c>
      <c r="V831" s="3">
        <f t="shared" si="194"/>
        <v>928484.3734976087</v>
      </c>
      <c r="W831" s="3">
        <f t="shared" si="195"/>
        <v>-28214.04297848311</v>
      </c>
      <c r="X831" s="3">
        <f t="shared" si="196"/>
        <v>2319.8708882257292</v>
      </c>
      <c r="Y831" s="3">
        <f t="shared" si="197"/>
        <v>12353029.861927489</v>
      </c>
      <c r="Z831" s="3">
        <f t="shared" si="198"/>
        <v>-919824.31543823041</v>
      </c>
      <c r="AA831" s="3">
        <f t="shared" si="199"/>
        <v>12387228.242869496</v>
      </c>
      <c r="AB831" s="3">
        <f t="shared" si="200"/>
        <v>12313029.861927489</v>
      </c>
      <c r="AC831" s="3">
        <f t="shared" si="201"/>
        <v>-917324.31543823041</v>
      </c>
      <c r="AD831" s="3">
        <f t="shared" si="202"/>
        <v>12347153.043532435</v>
      </c>
      <c r="AE831" s="3">
        <f t="shared" si="203"/>
        <v>12328029.861927489</v>
      </c>
      <c r="AF831" s="3">
        <f t="shared" si="207"/>
        <v>-942324.31543823041</v>
      </c>
      <c r="AG831" s="3">
        <f t="shared" si="204"/>
        <v>12363991.887414115</v>
      </c>
      <c r="AH831" s="3">
        <f t="shared" si="205"/>
        <v>7.9928840749491914E-3</v>
      </c>
      <c r="AI831" s="3">
        <f t="shared" si="206"/>
        <v>-6.0195606553000228E-4</v>
      </c>
    </row>
    <row r="832" spans="19:35" x14ac:dyDescent="0.3">
      <c r="S832" s="6">
        <v>815</v>
      </c>
      <c r="T832" s="4">
        <f t="shared" si="192"/>
        <v>407.5</v>
      </c>
      <c r="U832" s="3">
        <f t="shared" si="193"/>
        <v>-12361245.531187003</v>
      </c>
      <c r="V832" s="3">
        <f t="shared" si="194"/>
        <v>929644.30879123253</v>
      </c>
      <c r="W832" s="3">
        <f t="shared" si="195"/>
        <v>-28210.78587822257</v>
      </c>
      <c r="X832" s="3">
        <f t="shared" si="196"/>
        <v>2319.6255911290259</v>
      </c>
      <c r="Y832" s="3">
        <f t="shared" si="197"/>
        <v>12367138.511695983</v>
      </c>
      <c r="Z832" s="3">
        <f t="shared" si="198"/>
        <v>-920984.3734976087</v>
      </c>
      <c r="AA832" s="3">
        <f t="shared" si="199"/>
        <v>12401384.083387656</v>
      </c>
      <c r="AB832" s="3">
        <f t="shared" si="200"/>
        <v>12327138.511695983</v>
      </c>
      <c r="AC832" s="3">
        <f t="shared" si="201"/>
        <v>-918484.3734976087</v>
      </c>
      <c r="AD832" s="3">
        <f t="shared" si="202"/>
        <v>12361308.888256839</v>
      </c>
      <c r="AE832" s="3">
        <f t="shared" si="203"/>
        <v>12342138.511695983</v>
      </c>
      <c r="AF832" s="3">
        <f t="shared" si="207"/>
        <v>-943484.3734976087</v>
      </c>
      <c r="AG832" s="3">
        <f t="shared" si="204"/>
        <v>12378147.914971905</v>
      </c>
      <c r="AH832" s="3">
        <f t="shared" si="205"/>
        <v>7.9746190620362499E-3</v>
      </c>
      <c r="AI832" s="3">
        <f t="shared" si="206"/>
        <v>-6.0064344982961224E-4</v>
      </c>
    </row>
    <row r="833" spans="19:35" x14ac:dyDescent="0.3">
      <c r="S833" s="6">
        <v>816</v>
      </c>
      <c r="T833" s="4">
        <f t="shared" si="192"/>
        <v>408</v>
      </c>
      <c r="U833" s="3">
        <f t="shared" si="193"/>
        <v>-12375350.92213246</v>
      </c>
      <c r="V833" s="3">
        <f t="shared" si="194"/>
        <v>930804.1214366362</v>
      </c>
      <c r="W833" s="3">
        <f t="shared" si="195"/>
        <v>-28207.532233645259</v>
      </c>
      <c r="X833" s="3">
        <f t="shared" si="196"/>
        <v>2319.3805286014954</v>
      </c>
      <c r="Y833" s="3">
        <f t="shared" si="197"/>
        <v>12381245.531187003</v>
      </c>
      <c r="Z833" s="3">
        <f t="shared" si="198"/>
        <v>-922144.30879123253</v>
      </c>
      <c r="AA833" s="3">
        <f t="shared" si="199"/>
        <v>12415538.289972538</v>
      </c>
      <c r="AB833" s="3">
        <f t="shared" si="200"/>
        <v>12341245.531187003</v>
      </c>
      <c r="AC833" s="3">
        <f t="shared" si="201"/>
        <v>-919644.30879123253</v>
      </c>
      <c r="AD833" s="3">
        <f t="shared" si="202"/>
        <v>12375463.099041397</v>
      </c>
      <c r="AE833" s="3">
        <f t="shared" si="203"/>
        <v>12356245.531187003</v>
      </c>
      <c r="AF833" s="3">
        <f t="shared" si="207"/>
        <v>-944644.30879123253</v>
      </c>
      <c r="AG833" s="3">
        <f t="shared" si="204"/>
        <v>12392302.30817141</v>
      </c>
      <c r="AH833" s="3">
        <f t="shared" si="205"/>
        <v>7.9564186820341876E-3</v>
      </c>
      <c r="AI833" s="3">
        <f t="shared" si="206"/>
        <v>-5.9933527112083064E-4</v>
      </c>
    </row>
    <row r="834" spans="19:35" x14ac:dyDescent="0.3">
      <c r="S834" s="6">
        <v>817</v>
      </c>
      <c r="T834" s="4">
        <f t="shared" si="192"/>
        <v>408.5</v>
      </c>
      <c r="U834" s="3">
        <f t="shared" si="193"/>
        <v>-12389454.686260179</v>
      </c>
      <c r="V834" s="3">
        <f t="shared" si="194"/>
        <v>931963.81155110314</v>
      </c>
      <c r="W834" s="3">
        <f t="shared" si="195"/>
        <v>-28204.282036613648</v>
      </c>
      <c r="X834" s="3">
        <f t="shared" si="196"/>
        <v>2319.1357001432425</v>
      </c>
      <c r="Y834" s="3">
        <f t="shared" si="197"/>
        <v>12395350.92213246</v>
      </c>
      <c r="Z834" s="3">
        <f t="shared" si="198"/>
        <v>-923304.1214366362</v>
      </c>
      <c r="AA834" s="3">
        <f t="shared" si="199"/>
        <v>12429690.86435668</v>
      </c>
      <c r="AB834" s="3">
        <f t="shared" si="200"/>
        <v>12355350.92213246</v>
      </c>
      <c r="AC834" s="3">
        <f t="shared" si="201"/>
        <v>-920804.1214366362</v>
      </c>
      <c r="AD834" s="3">
        <f t="shared" si="202"/>
        <v>12389615.677618662</v>
      </c>
      <c r="AE834" s="3">
        <f t="shared" si="203"/>
        <v>12370350.92213246</v>
      </c>
      <c r="AF834" s="3">
        <f t="shared" si="207"/>
        <v>-945804.1214366362</v>
      </c>
      <c r="AG834" s="3">
        <f t="shared" si="204"/>
        <v>12406455.068746669</v>
      </c>
      <c r="AH834" s="3">
        <f t="shared" si="205"/>
        <v>7.9382826260729934E-3</v>
      </c>
      <c r="AI834" s="3">
        <f t="shared" si="206"/>
        <v>-5.9803150915018117E-4</v>
      </c>
    </row>
    <row r="835" spans="19:35" x14ac:dyDescent="0.3">
      <c r="S835" s="6">
        <v>818</v>
      </c>
      <c r="T835" s="4">
        <f t="shared" si="192"/>
        <v>409</v>
      </c>
      <c r="U835" s="3">
        <f t="shared" si="193"/>
        <v>-12403556.825293915</v>
      </c>
      <c r="V835" s="3">
        <f t="shared" si="194"/>
        <v>933123.37925166683</v>
      </c>
      <c r="W835" s="3">
        <f t="shared" si="195"/>
        <v>-28201.035279019583</v>
      </c>
      <c r="X835" s="3">
        <f t="shared" si="196"/>
        <v>2318.8911052560002</v>
      </c>
      <c r="Y835" s="3">
        <f t="shared" si="197"/>
        <v>12409454.686260179</v>
      </c>
      <c r="Z835" s="3">
        <f t="shared" si="198"/>
        <v>-924463.81155110314</v>
      </c>
      <c r="AA835" s="3">
        <f t="shared" si="199"/>
        <v>12443841.808268551</v>
      </c>
      <c r="AB835" s="3">
        <f t="shared" si="200"/>
        <v>12369454.686260179</v>
      </c>
      <c r="AC835" s="3">
        <f t="shared" si="201"/>
        <v>-921963.81155110314</v>
      </c>
      <c r="AD835" s="3">
        <f t="shared" si="202"/>
        <v>12403766.625717115</v>
      </c>
      <c r="AE835" s="3">
        <f t="shared" si="203"/>
        <v>12384454.686260179</v>
      </c>
      <c r="AF835" s="3">
        <f t="shared" si="207"/>
        <v>-946963.81155110314</v>
      </c>
      <c r="AG835" s="3">
        <f t="shared" si="204"/>
        <v>12420606.19842764</v>
      </c>
      <c r="AH835" s="3">
        <f t="shared" si="205"/>
        <v>7.9202105871396117E-3</v>
      </c>
      <c r="AI835" s="3">
        <f t="shared" si="206"/>
        <v>-5.9673214378042354E-4</v>
      </c>
    </row>
    <row r="836" spans="19:35" x14ac:dyDescent="0.3">
      <c r="S836" s="6">
        <v>819</v>
      </c>
      <c r="T836" s="4">
        <f t="shared" si="192"/>
        <v>409.5</v>
      </c>
      <c r="U836" s="3">
        <f t="shared" si="193"/>
        <v>-12417657.340953372</v>
      </c>
      <c r="V836" s="3">
        <f t="shared" si="194"/>
        <v>934282.82465511176</v>
      </c>
      <c r="W836" s="3">
        <f t="shared" si="195"/>
        <v>-28197.791952784148</v>
      </c>
      <c r="X836" s="3">
        <f t="shared" si="196"/>
        <v>2318.646743443122</v>
      </c>
      <c r="Y836" s="3">
        <f t="shared" si="197"/>
        <v>12423556.825293915</v>
      </c>
      <c r="Z836" s="3">
        <f t="shared" si="198"/>
        <v>-925623.37925166683</v>
      </c>
      <c r="AA836" s="3">
        <f t="shared" si="199"/>
        <v>12457991.123432554</v>
      </c>
      <c r="AB836" s="3">
        <f t="shared" si="200"/>
        <v>12383556.825293915</v>
      </c>
      <c r="AC836" s="3">
        <f t="shared" si="201"/>
        <v>-923123.37925166683</v>
      </c>
      <c r="AD836" s="3">
        <f t="shared" si="202"/>
        <v>12417915.945061173</v>
      </c>
      <c r="AE836" s="3">
        <f t="shared" si="203"/>
        <v>12398556.825293915</v>
      </c>
      <c r="AF836" s="3">
        <f t="shared" si="207"/>
        <v>-948123.37925166683</v>
      </c>
      <c r="AG836" s="3">
        <f t="shared" si="204"/>
        <v>12434755.698940206</v>
      </c>
      <c r="AH836" s="3">
        <f t="shared" si="205"/>
        <v>7.9022022600646336E-3</v>
      </c>
      <c r="AI836" s="3">
        <f t="shared" si="206"/>
        <v>-5.9543715498976374E-4</v>
      </c>
    </row>
    <row r="837" spans="19:35" x14ac:dyDescent="0.3">
      <c r="S837" s="6">
        <v>820</v>
      </c>
      <c r="T837" s="4">
        <f t="shared" si="192"/>
        <v>410</v>
      </c>
      <c r="U837" s="3">
        <f t="shared" si="193"/>
        <v>-12431756.234954214</v>
      </c>
      <c r="V837" s="3">
        <f t="shared" si="194"/>
        <v>935442.14787797397</v>
      </c>
      <c r="W837" s="3">
        <f t="shared" si="195"/>
        <v>-28194.552049857521</v>
      </c>
      <c r="X837" s="3">
        <f t="shared" si="196"/>
        <v>2318.4026142095763</v>
      </c>
      <c r="Y837" s="3">
        <f t="shared" si="197"/>
        <v>12437657.340953372</v>
      </c>
      <c r="Z837" s="3">
        <f t="shared" si="198"/>
        <v>-926782.82465511176</v>
      </c>
      <c r="AA837" s="3">
        <f t="shared" si="199"/>
        <v>12472138.81156905</v>
      </c>
      <c r="AB837" s="3">
        <f t="shared" si="200"/>
        <v>12397657.340953372</v>
      </c>
      <c r="AC837" s="3">
        <f t="shared" si="201"/>
        <v>-924282.82465511176</v>
      </c>
      <c r="AD837" s="3">
        <f t="shared" si="202"/>
        <v>12432063.63737121</v>
      </c>
      <c r="AE837" s="3">
        <f t="shared" si="203"/>
        <v>12412657.340953372</v>
      </c>
      <c r="AF837" s="3">
        <f t="shared" si="207"/>
        <v>-949282.82465511176</v>
      </c>
      <c r="AG837" s="3">
        <f t="shared" si="204"/>
        <v>12448903.572006205</v>
      </c>
      <c r="AH837" s="3">
        <f t="shared" si="205"/>
        <v>7.8842573415091703E-3</v>
      </c>
      <c r="AI837" s="3">
        <f t="shared" si="206"/>
        <v>-5.941465228710707E-4</v>
      </c>
    </row>
    <row r="838" spans="19:35" x14ac:dyDescent="0.3">
      <c r="S838" s="6">
        <v>821</v>
      </c>
      <c r="T838" s="4">
        <f t="shared" si="192"/>
        <v>410.5</v>
      </c>
      <c r="U838" s="3">
        <f t="shared" si="193"/>
        <v>-12445853.509008078</v>
      </c>
      <c r="V838" s="3">
        <f t="shared" si="194"/>
        <v>936601.34903654212</v>
      </c>
      <c r="W838" s="3">
        <f t="shared" si="195"/>
        <v>-28191.315562218831</v>
      </c>
      <c r="X838" s="3">
        <f t="shared" si="196"/>
        <v>2318.1587170619378</v>
      </c>
      <c r="Y838" s="3">
        <f t="shared" si="197"/>
        <v>12451756.234954214</v>
      </c>
      <c r="Z838" s="3">
        <f t="shared" si="198"/>
        <v>-927942.14787797397</v>
      </c>
      <c r="AA838" s="3">
        <f t="shared" si="199"/>
        <v>12486284.874394365</v>
      </c>
      <c r="AB838" s="3">
        <f t="shared" si="200"/>
        <v>12411756.234954214</v>
      </c>
      <c r="AC838" s="3">
        <f t="shared" si="201"/>
        <v>-925442.14787797397</v>
      </c>
      <c r="AD838" s="3">
        <f t="shared" si="202"/>
        <v>12446209.704363566</v>
      </c>
      <c r="AE838" s="3">
        <f t="shared" si="203"/>
        <v>12426756.234954214</v>
      </c>
      <c r="AF838" s="3">
        <f t="shared" si="207"/>
        <v>-950442.14787797397</v>
      </c>
      <c r="AG838" s="3">
        <f t="shared" si="204"/>
        <v>12463049.819343431</v>
      </c>
      <c r="AH838" s="3">
        <f t="shared" si="205"/>
        <v>7.8663755299511126E-3</v>
      </c>
      <c r="AI838" s="3">
        <f t="shared" si="206"/>
        <v>-5.9286022763104895E-4</v>
      </c>
    </row>
    <row r="839" spans="19:35" x14ac:dyDescent="0.3">
      <c r="S839" s="6">
        <v>822</v>
      </c>
      <c r="T839" s="4">
        <f t="shared" si="192"/>
        <v>411</v>
      </c>
      <c r="U839" s="3">
        <f t="shared" si="193"/>
        <v>-12459949.164822593</v>
      </c>
      <c r="V839" s="3">
        <f t="shared" si="194"/>
        <v>937760.42824685795</v>
      </c>
      <c r="W839" s="3">
        <f t="shared" si="195"/>
        <v>-28188.082481876023</v>
      </c>
      <c r="X839" s="3">
        <f t="shared" si="196"/>
        <v>2317.9150515083816</v>
      </c>
      <c r="Y839" s="3">
        <f t="shared" si="197"/>
        <v>12465853.509008078</v>
      </c>
      <c r="Z839" s="3">
        <f t="shared" si="198"/>
        <v>-929101.34903654212</v>
      </c>
      <c r="AA839" s="3">
        <f t="shared" si="199"/>
        <v>12500429.313620813</v>
      </c>
      <c r="AB839" s="3">
        <f t="shared" si="200"/>
        <v>12425853.509008078</v>
      </c>
      <c r="AC839" s="3">
        <f t="shared" si="201"/>
        <v>-926601.34903654212</v>
      </c>
      <c r="AD839" s="3">
        <f t="shared" si="202"/>
        <v>12460354.147750566</v>
      </c>
      <c r="AE839" s="3">
        <f t="shared" si="203"/>
        <v>12440853.509008078</v>
      </c>
      <c r="AF839" s="3">
        <f t="shared" si="207"/>
        <v>-951601.34903654212</v>
      </c>
      <c r="AG839" s="3">
        <f t="shared" si="204"/>
        <v>12477194.442665657</v>
      </c>
      <c r="AH839" s="3">
        <f t="shared" si="205"/>
        <v>7.8485565256725121E-3</v>
      </c>
      <c r="AI839" s="3">
        <f t="shared" si="206"/>
        <v>-5.9157824958949181E-4</v>
      </c>
    </row>
    <row r="840" spans="19:35" x14ac:dyDescent="0.3">
      <c r="S840" s="6">
        <v>823</v>
      </c>
      <c r="T840" s="4">
        <f t="shared" si="192"/>
        <v>411.5</v>
      </c>
      <c r="U840" s="3">
        <f t="shared" si="193"/>
        <v>-12474043.204101393</v>
      </c>
      <c r="V840" s="3">
        <f t="shared" si="194"/>
        <v>938919.38562471757</v>
      </c>
      <c r="W840" s="3">
        <f t="shared" si="195"/>
        <v>-28184.852800865709</v>
      </c>
      <c r="X840" s="3">
        <f t="shared" si="196"/>
        <v>2317.6716170586756</v>
      </c>
      <c r="Y840" s="3">
        <f t="shared" si="197"/>
        <v>12479949.164822593</v>
      </c>
      <c r="Z840" s="3">
        <f t="shared" si="198"/>
        <v>-930260.42824685795</v>
      </c>
      <c r="AA840" s="3">
        <f t="shared" si="199"/>
        <v>12514572.130956702</v>
      </c>
      <c r="AB840" s="3">
        <f t="shared" si="200"/>
        <v>12439949.164822593</v>
      </c>
      <c r="AC840" s="3">
        <f t="shared" si="201"/>
        <v>-927760.42824685795</v>
      </c>
      <c r="AD840" s="3">
        <f t="shared" si="202"/>
        <v>12474496.969240528</v>
      </c>
      <c r="AE840" s="3">
        <f t="shared" si="203"/>
        <v>12454949.164822593</v>
      </c>
      <c r="AF840" s="3">
        <f t="shared" si="207"/>
        <v>-952760.42824685795</v>
      </c>
      <c r="AG840" s="3">
        <f t="shared" si="204"/>
        <v>12491337.443682646</v>
      </c>
      <c r="AH840" s="3">
        <f t="shared" si="205"/>
        <v>7.830800030746295E-3</v>
      </c>
      <c r="AI840" s="3">
        <f t="shared" si="206"/>
        <v>-5.9030056917848167E-4</v>
      </c>
    </row>
    <row r="841" spans="19:35" x14ac:dyDescent="0.3">
      <c r="S841" s="6">
        <v>824</v>
      </c>
      <c r="T841" s="4">
        <f t="shared" si="192"/>
        <v>412</v>
      </c>
      <c r="U841" s="3">
        <f t="shared" si="193"/>
        <v>-12488135.628544126</v>
      </c>
      <c r="V841" s="3">
        <f t="shared" si="194"/>
        <v>940078.22128567169</v>
      </c>
      <c r="W841" s="3">
        <f t="shared" si="195"/>
        <v>-28181.626511253042</v>
      </c>
      <c r="X841" s="3">
        <f t="shared" si="196"/>
        <v>2317.4284132241742</v>
      </c>
      <c r="Y841" s="3">
        <f t="shared" si="197"/>
        <v>12494043.204101393</v>
      </c>
      <c r="Z841" s="3">
        <f t="shared" si="198"/>
        <v>-931419.38562471757</v>
      </c>
      <c r="AA841" s="3">
        <f t="shared" si="199"/>
        <v>12528713.328106351</v>
      </c>
      <c r="AB841" s="3">
        <f t="shared" si="200"/>
        <v>12454043.204101393</v>
      </c>
      <c r="AC841" s="3">
        <f t="shared" si="201"/>
        <v>-928919.38562471757</v>
      </c>
      <c r="AD841" s="3">
        <f t="shared" si="202"/>
        <v>12488638.17053779</v>
      </c>
      <c r="AE841" s="3">
        <f t="shared" si="203"/>
        <v>12469043.204101393</v>
      </c>
      <c r="AF841" s="3">
        <f t="shared" si="207"/>
        <v>-953919.38562471757</v>
      </c>
      <c r="AG841" s="3">
        <f t="shared" si="204"/>
        <v>12505478.824100168</v>
      </c>
      <c r="AH841" s="3">
        <f t="shared" si="205"/>
        <v>7.8131057490236737E-3</v>
      </c>
      <c r="AI841" s="3">
        <f t="shared" si="206"/>
        <v>-5.890271669416428E-4</v>
      </c>
    </row>
    <row r="842" spans="19:35" x14ac:dyDescent="0.3">
      <c r="S842" s="6">
        <v>825</v>
      </c>
      <c r="T842" s="4">
        <f t="shared" si="192"/>
        <v>412.5</v>
      </c>
      <c r="U842" s="3">
        <f t="shared" si="193"/>
        <v>-12502226.439846477</v>
      </c>
      <c r="V842" s="3">
        <f t="shared" si="194"/>
        <v>941236.93534502701</v>
      </c>
      <c r="W842" s="3">
        <f t="shared" si="195"/>
        <v>-28178.403605131571</v>
      </c>
      <c r="X842" s="3">
        <f t="shared" si="196"/>
        <v>2317.1854395178107</v>
      </c>
      <c r="Y842" s="3">
        <f t="shared" si="197"/>
        <v>12508135.628544126</v>
      </c>
      <c r="Z842" s="3">
        <f t="shared" si="198"/>
        <v>-932578.22128567169</v>
      </c>
      <c r="AA842" s="3">
        <f t="shared" si="199"/>
        <v>12542852.906770105</v>
      </c>
      <c r="AB842" s="3">
        <f t="shared" si="200"/>
        <v>12468135.628544126</v>
      </c>
      <c r="AC842" s="3">
        <f t="shared" si="201"/>
        <v>-930078.22128567169</v>
      </c>
      <c r="AD842" s="3">
        <f t="shared" si="202"/>
        <v>12502777.753342707</v>
      </c>
      <c r="AE842" s="3">
        <f t="shared" si="203"/>
        <v>12483135.628544126</v>
      </c>
      <c r="AF842" s="3">
        <f t="shared" si="207"/>
        <v>-955078.22128567169</v>
      </c>
      <c r="AG842" s="3">
        <f t="shared" si="204"/>
        <v>12519618.585620008</v>
      </c>
      <c r="AH842" s="3">
        <f t="shared" si="205"/>
        <v>7.7954733861209467E-3</v>
      </c>
      <c r="AI842" s="3">
        <f t="shared" si="206"/>
        <v>-5.8775802353334397E-4</v>
      </c>
    </row>
    <row r="843" spans="19:35" x14ac:dyDescent="0.3">
      <c r="S843" s="6">
        <v>826</v>
      </c>
      <c r="T843" s="4">
        <f t="shared" si="192"/>
        <v>413</v>
      </c>
      <c r="U843" s="3">
        <f t="shared" si="193"/>
        <v>-12516315.639700174</v>
      </c>
      <c r="V843" s="3">
        <f t="shared" si="194"/>
        <v>942395.52791784634</v>
      </c>
      <c r="W843" s="3">
        <f t="shared" si="195"/>
        <v>-28175.184074623103</v>
      </c>
      <c r="X843" s="3">
        <f t="shared" si="196"/>
        <v>2316.9426954540913</v>
      </c>
      <c r="Y843" s="3">
        <f t="shared" si="197"/>
        <v>12522226.439846477</v>
      </c>
      <c r="Z843" s="3">
        <f t="shared" si="198"/>
        <v>-933736.93534502701</v>
      </c>
      <c r="AA843" s="3">
        <f t="shared" si="199"/>
        <v>12556990.868644355</v>
      </c>
      <c r="AB843" s="3">
        <f t="shared" si="200"/>
        <v>12482226.439846477</v>
      </c>
      <c r="AC843" s="3">
        <f t="shared" si="201"/>
        <v>-931236.93534502701</v>
      </c>
      <c r="AD843" s="3">
        <f t="shared" si="202"/>
        <v>12516915.719351683</v>
      </c>
      <c r="AE843" s="3">
        <f t="shared" si="203"/>
        <v>12497226.439846477</v>
      </c>
      <c r="AF843" s="3">
        <f t="shared" si="207"/>
        <v>-956236.93534502701</v>
      </c>
      <c r="AG843" s="3">
        <f t="shared" si="204"/>
        <v>12533756.729939986</v>
      </c>
      <c r="AH843" s="3">
        <f t="shared" si="205"/>
        <v>7.7779026494071537E-3</v>
      </c>
      <c r="AI843" s="3">
        <f t="shared" si="206"/>
        <v>-5.8649311971796536E-4</v>
      </c>
    </row>
    <row r="844" spans="19:35" x14ac:dyDescent="0.3">
      <c r="S844" s="6">
        <v>827</v>
      </c>
      <c r="T844" s="4">
        <f t="shared" si="192"/>
        <v>413.5</v>
      </c>
      <c r="U844" s="3">
        <f t="shared" si="193"/>
        <v>-12530403.22979301</v>
      </c>
      <c r="V844" s="3">
        <f t="shared" si="194"/>
        <v>943553.9991189501</v>
      </c>
      <c r="W844" s="3">
        <f t="shared" si="195"/>
        <v>-28171.967911877571</v>
      </c>
      <c r="X844" s="3">
        <f t="shared" si="196"/>
        <v>2316.7001805490881</v>
      </c>
      <c r="Y844" s="3">
        <f t="shared" si="197"/>
        <v>12536315.639700174</v>
      </c>
      <c r="Z844" s="3">
        <f t="shared" si="198"/>
        <v>-934895.52791784634</v>
      </c>
      <c r="AA844" s="3">
        <f t="shared" si="199"/>
        <v>12571127.215421533</v>
      </c>
      <c r="AB844" s="3">
        <f t="shared" si="200"/>
        <v>12496315.639700174</v>
      </c>
      <c r="AC844" s="3">
        <f t="shared" si="201"/>
        <v>-932395.52791784634</v>
      </c>
      <c r="AD844" s="3">
        <f t="shared" si="202"/>
        <v>12531052.070257165</v>
      </c>
      <c r="AE844" s="3">
        <f t="shared" si="203"/>
        <v>12511315.639700174</v>
      </c>
      <c r="AF844" s="3">
        <f t="shared" si="207"/>
        <v>-957395.52791784634</v>
      </c>
      <c r="AG844" s="3">
        <f t="shared" si="204"/>
        <v>12547893.258753968</v>
      </c>
      <c r="AH844" s="3">
        <f t="shared" si="205"/>
        <v>7.7603932479914633E-3</v>
      </c>
      <c r="AI844" s="3">
        <f t="shared" si="206"/>
        <v>-5.8523243636914154E-4</v>
      </c>
    </row>
    <row r="845" spans="19:35" x14ac:dyDescent="0.3">
      <c r="S845" s="6">
        <v>828</v>
      </c>
      <c r="T845" s="4">
        <f t="shared" si="192"/>
        <v>414</v>
      </c>
      <c r="U845" s="3">
        <f t="shared" si="193"/>
        <v>-12544489.211808851</v>
      </c>
      <c r="V845" s="3">
        <f t="shared" si="194"/>
        <v>944712.34906291659</v>
      </c>
      <c r="W845" s="3">
        <f t="shared" si="195"/>
        <v>-28168.755109072903</v>
      </c>
      <c r="X845" s="3">
        <f t="shared" si="196"/>
        <v>2316.4578943204315</v>
      </c>
      <c r="Y845" s="3">
        <f t="shared" si="197"/>
        <v>12550403.22979301</v>
      </c>
      <c r="Z845" s="3">
        <f t="shared" si="198"/>
        <v>-936053.9991189501</v>
      </c>
      <c r="AA845" s="3">
        <f t="shared" si="199"/>
        <v>12585261.948790157</v>
      </c>
      <c r="AB845" s="3">
        <f t="shared" si="200"/>
        <v>12510403.22979301</v>
      </c>
      <c r="AC845" s="3">
        <f t="shared" si="201"/>
        <v>-933553.9991189501</v>
      </c>
      <c r="AD845" s="3">
        <f t="shared" si="202"/>
        <v>12545186.807747679</v>
      </c>
      <c r="AE845" s="3">
        <f t="shared" si="203"/>
        <v>12525403.22979301</v>
      </c>
      <c r="AF845" s="3">
        <f t="shared" si="207"/>
        <v>-958553.9991189501</v>
      </c>
      <c r="AG845" s="3">
        <f t="shared" si="204"/>
        <v>12562028.173751885</v>
      </c>
      <c r="AH845" s="3">
        <f t="shared" si="205"/>
        <v>7.7429448927103985E-3</v>
      </c>
      <c r="AI845" s="3">
        <f t="shared" si="206"/>
        <v>-5.8397595446899216E-4</v>
      </c>
    </row>
    <row r="846" spans="19:35" x14ac:dyDescent="0.3">
      <c r="S846" s="6">
        <v>829</v>
      </c>
      <c r="T846" s="4">
        <f t="shared" si="192"/>
        <v>414.5</v>
      </c>
      <c r="U846" s="3">
        <f t="shared" si="193"/>
        <v>-12558573.587427652</v>
      </c>
      <c r="V846" s="3">
        <f t="shared" si="194"/>
        <v>945870.57786408276</v>
      </c>
      <c r="W846" s="3">
        <f t="shared" si="195"/>
        <v>-28165.545658414874</v>
      </c>
      <c r="X846" s="3">
        <f t="shared" si="196"/>
        <v>2316.2158362873042</v>
      </c>
      <c r="Y846" s="3">
        <f t="shared" si="197"/>
        <v>12564489.211808851</v>
      </c>
      <c r="Z846" s="3">
        <f t="shared" si="198"/>
        <v>-937212.34906291659</v>
      </c>
      <c r="AA846" s="3">
        <f t="shared" si="199"/>
        <v>12599395.070434812</v>
      </c>
      <c r="AB846" s="3">
        <f t="shared" si="200"/>
        <v>12524489.211808851</v>
      </c>
      <c r="AC846" s="3">
        <f t="shared" si="201"/>
        <v>-934712.34906291659</v>
      </c>
      <c r="AD846" s="3">
        <f t="shared" si="202"/>
        <v>12559319.933507824</v>
      </c>
      <c r="AE846" s="3">
        <f t="shared" si="203"/>
        <v>12539489.211808851</v>
      </c>
      <c r="AF846" s="3">
        <f t="shared" si="207"/>
        <v>-959712.34906291659</v>
      </c>
      <c r="AG846" s="3">
        <f t="shared" si="204"/>
        <v>12576161.476619741</v>
      </c>
      <c r="AH846" s="3">
        <f t="shared" si="205"/>
        <v>7.725557296116038E-3</v>
      </c>
      <c r="AI846" s="3">
        <f t="shared" si="206"/>
        <v>-5.8272365510742279E-4</v>
      </c>
    </row>
    <row r="847" spans="19:35" x14ac:dyDescent="0.3">
      <c r="S847" s="6">
        <v>830</v>
      </c>
      <c r="T847" s="4">
        <f t="shared" si="192"/>
        <v>415</v>
      </c>
      <c r="U847" s="3">
        <f t="shared" si="193"/>
        <v>-12572656.358325468</v>
      </c>
      <c r="V847" s="3">
        <f t="shared" si="194"/>
        <v>947028.68563654542</v>
      </c>
      <c r="W847" s="3">
        <f t="shared" si="195"/>
        <v>-28162.339552136986</v>
      </c>
      <c r="X847" s="3">
        <f t="shared" si="196"/>
        <v>2315.9740059704345</v>
      </c>
      <c r="Y847" s="3">
        <f t="shared" si="197"/>
        <v>12578573.587427652</v>
      </c>
      <c r="Z847" s="3">
        <f t="shared" si="198"/>
        <v>-938370.57786408276</v>
      </c>
      <c r="AA847" s="3">
        <f t="shared" si="199"/>
        <v>12613526.582036188</v>
      </c>
      <c r="AB847" s="3">
        <f t="shared" si="200"/>
        <v>12538573.587427652</v>
      </c>
      <c r="AC847" s="3">
        <f t="shared" si="201"/>
        <v>-935870.57786408276</v>
      </c>
      <c r="AD847" s="3">
        <f t="shared" si="202"/>
        <v>12573451.449218309</v>
      </c>
      <c r="AE847" s="3">
        <f t="shared" si="203"/>
        <v>12553573.587427652</v>
      </c>
      <c r="AF847" s="3">
        <f t="shared" si="207"/>
        <v>-960870.57786408276</v>
      </c>
      <c r="AG847" s="3">
        <f t="shared" si="204"/>
        <v>12590293.169039631</v>
      </c>
      <c r="AH847" s="3">
        <f t="shared" si="205"/>
        <v>7.7082301724632311E-3</v>
      </c>
      <c r="AI847" s="3">
        <f t="shared" si="206"/>
        <v>-5.8147551948135054E-4</v>
      </c>
    </row>
    <row r="848" spans="19:35" x14ac:dyDescent="0.3">
      <c r="S848" s="6">
        <v>831</v>
      </c>
      <c r="T848" s="4">
        <f t="shared" si="192"/>
        <v>415.5</v>
      </c>
      <c r="U848" s="3">
        <f t="shared" si="193"/>
        <v>-12586737.52617448</v>
      </c>
      <c r="V848" s="3">
        <f t="shared" si="194"/>
        <v>948186.67249416176</v>
      </c>
      <c r="W848" s="3">
        <f t="shared" si="195"/>
        <v>-28159.136782500329</v>
      </c>
      <c r="X848" s="3">
        <f t="shared" si="196"/>
        <v>2315.7324028920898</v>
      </c>
      <c r="Y848" s="3">
        <f t="shared" si="197"/>
        <v>12592656.358325468</v>
      </c>
      <c r="Z848" s="3">
        <f t="shared" si="198"/>
        <v>-939528.68563654542</v>
      </c>
      <c r="AA848" s="3">
        <f t="shared" si="199"/>
        <v>12627656.485271081</v>
      </c>
      <c r="AB848" s="3">
        <f t="shared" si="200"/>
        <v>12552656.358325468</v>
      </c>
      <c r="AC848" s="3">
        <f t="shared" si="201"/>
        <v>-937028.68563654542</v>
      </c>
      <c r="AD848" s="3">
        <f t="shared" si="202"/>
        <v>12587581.356555935</v>
      </c>
      <c r="AE848" s="3">
        <f t="shared" si="203"/>
        <v>12567656.358325468</v>
      </c>
      <c r="AF848" s="3">
        <f t="shared" si="207"/>
        <v>-962028.68563654542</v>
      </c>
      <c r="AG848" s="3">
        <f t="shared" si="204"/>
        <v>12604423.252689755</v>
      </c>
      <c r="AH848" s="3">
        <f t="shared" si="205"/>
        <v>7.6909632376977993E-3</v>
      </c>
      <c r="AI848" s="3">
        <f t="shared" si="206"/>
        <v>-5.8023152889400147E-4</v>
      </c>
    </row>
    <row r="849" spans="19:35" x14ac:dyDescent="0.3">
      <c r="S849" s="6">
        <v>832</v>
      </c>
      <c r="T849" s="4">
        <f t="shared" si="192"/>
        <v>416</v>
      </c>
      <c r="U849" s="3">
        <f t="shared" si="193"/>
        <v>-12600817.092642989</v>
      </c>
      <c r="V849" s="3">
        <f t="shared" si="194"/>
        <v>949344.53855054989</v>
      </c>
      <c r="W849" s="3">
        <f t="shared" si="195"/>
        <v>-28155.937341793448</v>
      </c>
      <c r="X849" s="3">
        <f t="shared" si="196"/>
        <v>2315.49102657607</v>
      </c>
      <c r="Y849" s="3">
        <f t="shared" si="197"/>
        <v>12606737.52617448</v>
      </c>
      <c r="Z849" s="3">
        <f t="shared" si="198"/>
        <v>-940686.67249416176</v>
      </c>
      <c r="AA849" s="3">
        <f t="shared" si="199"/>
        <v>12641784.781812415</v>
      </c>
      <c r="AB849" s="3">
        <f t="shared" si="200"/>
        <v>12566737.52617448</v>
      </c>
      <c r="AC849" s="3">
        <f t="shared" si="201"/>
        <v>-938186.67249416176</v>
      </c>
      <c r="AD849" s="3">
        <f t="shared" si="202"/>
        <v>12601709.657193644</v>
      </c>
      <c r="AE849" s="3">
        <f t="shared" si="203"/>
        <v>12581737.52617448</v>
      </c>
      <c r="AF849" s="3">
        <f t="shared" si="207"/>
        <v>-963186.67249416176</v>
      </c>
      <c r="AG849" s="3">
        <f t="shared" si="204"/>
        <v>12618551.729244426</v>
      </c>
      <c r="AH849" s="3">
        <f t="shared" si="205"/>
        <v>7.6737562094443528E-3</v>
      </c>
      <c r="AI849" s="3">
        <f t="shared" si="206"/>
        <v>-5.7899166475417776E-4</v>
      </c>
    </row>
    <row r="850" spans="19:35" x14ac:dyDescent="0.3">
      <c r="S850" s="6">
        <v>833</v>
      </c>
      <c r="T850" s="4">
        <f t="shared" ref="T850:T913" si="208">T849+$C$4</f>
        <v>416.5</v>
      </c>
      <c r="U850" s="3">
        <f t="shared" ref="U850:U913" si="209">U849+(W849*$C$4)+(AH849*POWER($C$4,2))</f>
        <v>-12614895.059395447</v>
      </c>
      <c r="V850" s="3">
        <f t="shared" ref="V850:V913" si="210">V849+(X849*$C$4)+(AI849*POWER($C$4,2))</f>
        <v>950502.28391909006</v>
      </c>
      <c r="W850" s="3">
        <f t="shared" ref="W850:W913" si="211">W849+(AH849*T850)</f>
        <v>-28152.741222332214</v>
      </c>
      <c r="X850" s="3">
        <f t="shared" ref="X850:X913" si="212">X849+(AI849*T850)</f>
        <v>2315.2498765476998</v>
      </c>
      <c r="Y850" s="3">
        <f t="shared" ref="Y850:Y913" si="213">$C$19-U849</f>
        <v>12620817.092642989</v>
      </c>
      <c r="Z850" s="3">
        <f t="shared" ref="Z850:Z913" si="214">$C$20-V849</f>
        <v>-941844.53855054989</v>
      </c>
      <c r="AA850" s="3">
        <f t="shared" ref="AA850:AA913" si="215">SQRT(POWER(Y850,2)+POWER(Z850,2))</f>
        <v>12655911.47332925</v>
      </c>
      <c r="AB850" s="3">
        <f t="shared" ref="AB850:AB913" si="216">$F$19-U849</f>
        <v>12580817.092642989</v>
      </c>
      <c r="AC850" s="3">
        <f t="shared" ref="AC850:AC913" si="217">$F$20-V849</f>
        <v>-939344.53855054989</v>
      </c>
      <c r="AD850" s="3">
        <f t="shared" ref="AD850:AD913" si="218">SQRT(POWER(AB850,2)+POWER(AC850,2))</f>
        <v>12615836.352800505</v>
      </c>
      <c r="AE850" s="3">
        <f t="shared" ref="AE850:AE913" si="219">$I$19-U849</f>
        <v>12595817.092642989</v>
      </c>
      <c r="AF850" s="3">
        <f t="shared" si="207"/>
        <v>-964344.53855054989</v>
      </c>
      <c r="AG850" s="3">
        <f t="shared" ref="AG850:AG913" si="220">SQRT(POWER(AE850,2)+POWER(AF850,2))</f>
        <v>12632678.600374093</v>
      </c>
      <c r="AH850" s="3">
        <f t="shared" ref="AH850:AH913" si="221">($C$24*(Y850/POWER(POWER(AA850,2)+POWER($C$25,2),3/2)))+($F$24*(AB850/POWER(POWER(AD850,2)+POWER($F$25,2),3/2)))+($I$24*(AE850/POWER(POWER(AG850,2)+POWER($I$25,2),3/2)))</f>
        <v>7.6566088069941612E-3</v>
      </c>
      <c r="AI850" s="3">
        <f t="shared" ref="AI850:AI913" si="222">$C$24*(Z850/POWER(POWER(AA850,2)+POWER($C$25,2),3/2))+$F$24*(AC850/POWER(POWER(AD850,2)+POWER($F$25,2),3/2))+$I$24*(AF850/POWER(POWER(AG850,2)+POWER($I$25,2),3/2))</f>
        <v>-5.7775590857552634E-4</v>
      </c>
    </row>
    <row r="851" spans="19:35" x14ac:dyDescent="0.3">
      <c r="S851" s="6">
        <v>834</v>
      </c>
      <c r="T851" s="4">
        <f t="shared" si="208"/>
        <v>417</v>
      </c>
      <c r="U851" s="3">
        <f t="shared" si="209"/>
        <v>-12628971.428092461</v>
      </c>
      <c r="V851" s="3">
        <f t="shared" si="210"/>
        <v>951659.90871292492</v>
      </c>
      <c r="W851" s="3">
        <f t="shared" si="211"/>
        <v>-28149.548416459696</v>
      </c>
      <c r="X851" s="3">
        <f t="shared" si="212"/>
        <v>2315.0089523338238</v>
      </c>
      <c r="Y851" s="3">
        <f t="shared" si="213"/>
        <v>12634895.059395447</v>
      </c>
      <c r="Z851" s="3">
        <f t="shared" si="214"/>
        <v>-943002.28391909006</v>
      </c>
      <c r="AA851" s="3">
        <f t="shared" si="215"/>
        <v>12670036.561486796</v>
      </c>
      <c r="AB851" s="3">
        <f t="shared" si="216"/>
        <v>12594895.059395447</v>
      </c>
      <c r="AC851" s="3">
        <f t="shared" si="217"/>
        <v>-940502.28391909006</v>
      </c>
      <c r="AD851" s="3">
        <f t="shared" si="218"/>
        <v>12629961.445041742</v>
      </c>
      <c r="AE851" s="3">
        <f t="shared" si="219"/>
        <v>12609895.059395447</v>
      </c>
      <c r="AF851" s="3">
        <f t="shared" ref="AF851:AF914" si="223">$I$20-V850</f>
        <v>-965502.28391909006</v>
      </c>
      <c r="AG851" s="3">
        <f t="shared" si="220"/>
        <v>12646803.867745347</v>
      </c>
      <c r="AH851" s="3">
        <f t="shared" si="221"/>
        <v>7.6395207512937411E-3</v>
      </c>
      <c r="AI851" s="3">
        <f t="shared" si="222"/>
        <v>-5.7652424197586092E-4</v>
      </c>
    </row>
    <row r="852" spans="19:35" x14ac:dyDescent="0.3">
      <c r="S852" s="6">
        <v>835</v>
      </c>
      <c r="T852" s="4">
        <f t="shared" si="208"/>
        <v>417.5</v>
      </c>
      <c r="U852" s="3">
        <f t="shared" si="209"/>
        <v>-12643046.20039081</v>
      </c>
      <c r="V852" s="3">
        <f t="shared" si="210"/>
        <v>952817.41304496082</v>
      </c>
      <c r="W852" s="3">
        <f t="shared" si="211"/>
        <v>-28146.358916546033</v>
      </c>
      <c r="X852" s="3">
        <f t="shared" si="212"/>
        <v>2314.7682534627988</v>
      </c>
      <c r="Y852" s="3">
        <f t="shared" si="213"/>
        <v>12648971.428092461</v>
      </c>
      <c r="Z852" s="3">
        <f t="shared" si="214"/>
        <v>-944159.90871292492</v>
      </c>
      <c r="AA852" s="3">
        <f t="shared" si="215"/>
        <v>12684160.047946425</v>
      </c>
      <c r="AB852" s="3">
        <f t="shared" si="216"/>
        <v>12608971.428092461</v>
      </c>
      <c r="AC852" s="3">
        <f t="shared" si="217"/>
        <v>-941659.90871292492</v>
      </c>
      <c r="AD852" s="3">
        <f t="shared" si="218"/>
        <v>12644084.935578741</v>
      </c>
      <c r="AE852" s="3">
        <f t="shared" si="219"/>
        <v>12623971.428092461</v>
      </c>
      <c r="AF852" s="3">
        <f t="shared" si="223"/>
        <v>-966659.90871292492</v>
      </c>
      <c r="AG852" s="3">
        <f t="shared" si="220"/>
        <v>12660927.53302094</v>
      </c>
      <c r="AH852" s="3">
        <f t="shared" si="221"/>
        <v>7.6224917649326002E-3</v>
      </c>
      <c r="AI852" s="3">
        <f t="shared" si="222"/>
        <v>-5.7529664667641716E-4</v>
      </c>
    </row>
    <row r="853" spans="19:35" x14ac:dyDescent="0.3">
      <c r="S853" s="6">
        <v>836</v>
      </c>
      <c r="T853" s="4">
        <f t="shared" si="208"/>
        <v>418</v>
      </c>
      <c r="U853" s="3">
        <f t="shared" si="209"/>
        <v>-12657119.37794346</v>
      </c>
      <c r="V853" s="3">
        <f t="shared" si="210"/>
        <v>953974.7970278681</v>
      </c>
      <c r="W853" s="3">
        <f t="shared" si="211"/>
        <v>-28143.17271498829</v>
      </c>
      <c r="X853" s="3">
        <f t="shared" si="212"/>
        <v>2314.527779464488</v>
      </c>
      <c r="Y853" s="3">
        <f t="shared" si="213"/>
        <v>12663046.20039081</v>
      </c>
      <c r="Z853" s="3">
        <f t="shared" si="214"/>
        <v>-945317.41304496082</v>
      </c>
      <c r="AA853" s="3">
        <f t="shared" si="215"/>
        <v>12698281.934365693</v>
      </c>
      <c r="AB853" s="3">
        <f t="shared" si="216"/>
        <v>12623046.20039081</v>
      </c>
      <c r="AC853" s="3">
        <f t="shared" si="217"/>
        <v>-942817.41304496082</v>
      </c>
      <c r="AD853" s="3">
        <f t="shared" si="218"/>
        <v>12658206.826069072</v>
      </c>
      <c r="AE853" s="3">
        <f t="shared" si="219"/>
        <v>12638046.20039081</v>
      </c>
      <c r="AF853" s="3">
        <f t="shared" si="223"/>
        <v>-967817.41304496082</v>
      </c>
      <c r="AG853" s="3">
        <f t="shared" si="220"/>
        <v>12675049.597859791</v>
      </c>
      <c r="AH853" s="3">
        <f t="shared" si="221"/>
        <v>7.605521572132061E-3</v>
      </c>
      <c r="AI853" s="3">
        <f t="shared" si="222"/>
        <v>-5.7407310450118909E-4</v>
      </c>
    </row>
    <row r="854" spans="19:35" x14ac:dyDescent="0.3">
      <c r="S854" s="6">
        <v>837</v>
      </c>
      <c r="T854" s="4">
        <f t="shared" si="208"/>
        <v>418.5</v>
      </c>
      <c r="U854" s="3">
        <f t="shared" si="209"/>
        <v>-12671190.962399574</v>
      </c>
      <c r="V854" s="3">
        <f t="shared" si="210"/>
        <v>955132.06077408197</v>
      </c>
      <c r="W854" s="3">
        <f t="shared" si="211"/>
        <v>-28139.989804210352</v>
      </c>
      <c r="X854" s="3">
        <f t="shared" si="212"/>
        <v>2314.2875298702543</v>
      </c>
      <c r="Y854" s="3">
        <f t="shared" si="213"/>
        <v>12677119.37794346</v>
      </c>
      <c r="Z854" s="3">
        <f t="shared" si="214"/>
        <v>-946474.7970278681</v>
      </c>
      <c r="AA854" s="3">
        <f t="shared" si="215"/>
        <v>12712402.22239835</v>
      </c>
      <c r="AB854" s="3">
        <f t="shared" si="216"/>
        <v>12637119.37794346</v>
      </c>
      <c r="AC854" s="3">
        <f t="shared" si="217"/>
        <v>-943974.7970278681</v>
      </c>
      <c r="AD854" s="3">
        <f t="shared" si="218"/>
        <v>12672327.118166493</v>
      </c>
      <c r="AE854" s="3">
        <f t="shared" si="219"/>
        <v>12652119.37794346</v>
      </c>
      <c r="AF854" s="3">
        <f t="shared" si="223"/>
        <v>-968974.7970278681</v>
      </c>
      <c r="AG854" s="3">
        <f t="shared" si="220"/>
        <v>12689170.063917009</v>
      </c>
      <c r="AH854" s="3">
        <f t="shared" si="221"/>
        <v>7.5886098987333183E-3</v>
      </c>
      <c r="AI854" s="3">
        <f t="shared" si="222"/>
        <v>-5.7285359737620461E-4</v>
      </c>
    </row>
    <row r="855" spans="19:35" x14ac:dyDescent="0.3">
      <c r="S855" s="6">
        <v>838</v>
      </c>
      <c r="T855" s="4">
        <f t="shared" si="208"/>
        <v>419</v>
      </c>
      <c r="U855" s="3">
        <f t="shared" si="209"/>
        <v>-12685260.955404527</v>
      </c>
      <c r="V855" s="3">
        <f t="shared" si="210"/>
        <v>956289.20439580362</v>
      </c>
      <c r="W855" s="3">
        <f t="shared" si="211"/>
        <v>-28136.810176662784</v>
      </c>
      <c r="X855" s="3">
        <f t="shared" si="212"/>
        <v>2314.0475042129538</v>
      </c>
      <c r="Y855" s="3">
        <f t="shared" si="213"/>
        <v>12691190.962399574</v>
      </c>
      <c r="Z855" s="3">
        <f t="shared" si="214"/>
        <v>-947632.06077408197</v>
      </c>
      <c r="AA855" s="3">
        <f t="shared" si="215"/>
        <v>12726520.913694346</v>
      </c>
      <c r="AB855" s="3">
        <f t="shared" si="216"/>
        <v>12651190.962399574</v>
      </c>
      <c r="AC855" s="3">
        <f t="shared" si="217"/>
        <v>-945132.06077408197</v>
      </c>
      <c r="AD855" s="3">
        <f t="shared" si="218"/>
        <v>12686445.81352097</v>
      </c>
      <c r="AE855" s="3">
        <f t="shared" si="219"/>
        <v>12666190.962399574</v>
      </c>
      <c r="AF855" s="3">
        <f t="shared" si="223"/>
        <v>-970132.06077408197</v>
      </c>
      <c r="AG855" s="3">
        <f t="shared" si="220"/>
        <v>12703288.932843905</v>
      </c>
      <c r="AH855" s="3">
        <f t="shared" si="221"/>
        <v>7.5717564721861069E-3</v>
      </c>
      <c r="AI855" s="3">
        <f t="shared" si="222"/>
        <v>-5.7163810732884564E-4</v>
      </c>
    </row>
    <row r="856" spans="19:35" x14ac:dyDescent="0.3">
      <c r="S856" s="6">
        <v>839</v>
      </c>
      <c r="T856" s="4">
        <f t="shared" si="208"/>
        <v>419.5</v>
      </c>
      <c r="U856" s="3">
        <f t="shared" si="209"/>
        <v>-12699329.35859992</v>
      </c>
      <c r="V856" s="3">
        <f t="shared" si="210"/>
        <v>957446.22800500062</v>
      </c>
      <c r="W856" s="3">
        <f t="shared" si="211"/>
        <v>-28133.633824822704</v>
      </c>
      <c r="X856" s="3">
        <f t="shared" si="212"/>
        <v>2313.8077020269293</v>
      </c>
      <c r="Y856" s="3">
        <f t="shared" si="213"/>
        <v>12705260.955404527</v>
      </c>
      <c r="Z856" s="3">
        <f t="shared" si="214"/>
        <v>-948789.20439580362</v>
      </c>
      <c r="AA856" s="3">
        <f t="shared" si="215"/>
        <v>12740638.009899851</v>
      </c>
      <c r="AB856" s="3">
        <f t="shared" si="216"/>
        <v>12665260.955404527</v>
      </c>
      <c r="AC856" s="3">
        <f t="shared" si="217"/>
        <v>-946289.20439580362</v>
      </c>
      <c r="AD856" s="3">
        <f t="shared" si="218"/>
        <v>12700562.913778681</v>
      </c>
      <c r="AE856" s="3">
        <f t="shared" si="219"/>
        <v>12680260.955404527</v>
      </c>
      <c r="AF856" s="3">
        <f t="shared" si="223"/>
        <v>-971289.20439580362</v>
      </c>
      <c r="AG856" s="3">
        <f t="shared" si="220"/>
        <v>12717406.206287993</v>
      </c>
      <c r="AH856" s="3">
        <f t="shared" si="221"/>
        <v>7.5549610215374687E-3</v>
      </c>
      <c r="AI856" s="3">
        <f t="shared" si="222"/>
        <v>-5.7042661648717551E-4</v>
      </c>
    </row>
    <row r="857" spans="19:35" x14ac:dyDescent="0.3">
      <c r="S857" s="6">
        <v>840</v>
      </c>
      <c r="T857" s="4">
        <f t="shared" si="208"/>
        <v>420</v>
      </c>
      <c r="U857" s="3">
        <f t="shared" si="209"/>
        <v>-12713396.17362359</v>
      </c>
      <c r="V857" s="3">
        <f t="shared" si="210"/>
        <v>958603.13171340746</v>
      </c>
      <c r="W857" s="3">
        <f t="shared" si="211"/>
        <v>-28130.460741193659</v>
      </c>
      <c r="X857" s="3">
        <f t="shared" si="212"/>
        <v>2313.5681228480048</v>
      </c>
      <c r="Y857" s="3">
        <f t="shared" si="213"/>
        <v>12719329.35859992</v>
      </c>
      <c r="Z857" s="3">
        <f t="shared" si="214"/>
        <v>-949946.22800500062</v>
      </c>
      <c r="AA857" s="3">
        <f t="shared" si="215"/>
        <v>12754753.512657262</v>
      </c>
      <c r="AB857" s="3">
        <f t="shared" si="216"/>
        <v>12679329.35859992</v>
      </c>
      <c r="AC857" s="3">
        <f t="shared" si="217"/>
        <v>-947446.22800500062</v>
      </c>
      <c r="AD857" s="3">
        <f t="shared" si="218"/>
        <v>12714678.420582047</v>
      </c>
      <c r="AE857" s="3">
        <f t="shared" si="219"/>
        <v>12694329.35859992</v>
      </c>
      <c r="AF857" s="3">
        <f t="shared" si="223"/>
        <v>-972446.22800500062</v>
      </c>
      <c r="AG857" s="3">
        <f t="shared" si="220"/>
        <v>12731521.885893021</v>
      </c>
      <c r="AH857" s="3">
        <f t="shared" si="221"/>
        <v>7.5382232774203056E-3</v>
      </c>
      <c r="AI857" s="3">
        <f t="shared" si="222"/>
        <v>-5.6921910707924558E-4</v>
      </c>
    </row>
    <row r="858" spans="19:35" x14ac:dyDescent="0.3">
      <c r="S858" s="6">
        <v>841</v>
      </c>
      <c r="T858" s="4">
        <f t="shared" si="208"/>
        <v>420.5</v>
      </c>
      <c r="U858" s="3">
        <f t="shared" si="209"/>
        <v>-12727461.40210963</v>
      </c>
      <c r="V858" s="3">
        <f t="shared" si="210"/>
        <v>959759.91563252662</v>
      </c>
      <c r="W858" s="3">
        <f t="shared" si="211"/>
        <v>-28127.290918305505</v>
      </c>
      <c r="X858" s="3">
        <f t="shared" si="212"/>
        <v>2313.328766213478</v>
      </c>
      <c r="Y858" s="3">
        <f t="shared" si="213"/>
        <v>12733396.17362359</v>
      </c>
      <c r="Z858" s="3">
        <f t="shared" si="214"/>
        <v>-951103.13171340746</v>
      </c>
      <c r="AA858" s="3">
        <f t="shared" si="215"/>
        <v>12768867.423605233</v>
      </c>
      <c r="AB858" s="3">
        <f t="shared" si="216"/>
        <v>12693396.17362359</v>
      </c>
      <c r="AC858" s="3">
        <f t="shared" si="217"/>
        <v>-948603.13171340746</v>
      </c>
      <c r="AD858" s="3">
        <f t="shared" si="218"/>
        <v>12728792.335569721</v>
      </c>
      <c r="AE858" s="3">
        <f t="shared" si="219"/>
        <v>12708396.17362359</v>
      </c>
      <c r="AF858" s="3">
        <f t="shared" si="223"/>
        <v>-973603.13171340746</v>
      </c>
      <c r="AG858" s="3">
        <f t="shared" si="220"/>
        <v>12745635.973298972</v>
      </c>
      <c r="AH858" s="3">
        <f t="shared" si="221"/>
        <v>7.5215429720422999E-3</v>
      </c>
      <c r="AI858" s="3">
        <f t="shared" si="222"/>
        <v>-5.6801556143243098E-4</v>
      </c>
    </row>
    <row r="859" spans="19:35" x14ac:dyDescent="0.3">
      <c r="S859" s="6">
        <v>842</v>
      </c>
      <c r="T859" s="4">
        <f t="shared" si="208"/>
        <v>421</v>
      </c>
      <c r="U859" s="3">
        <f t="shared" si="209"/>
        <v>-12741525.045688398</v>
      </c>
      <c r="V859" s="3">
        <f t="shared" si="210"/>
        <v>960916.5798736295</v>
      </c>
      <c r="W859" s="3">
        <f t="shared" si="211"/>
        <v>-28124.124348714275</v>
      </c>
      <c r="X859" s="3">
        <f t="shared" si="212"/>
        <v>2313.0896316621152</v>
      </c>
      <c r="Y859" s="3">
        <f t="shared" si="213"/>
        <v>12747461.40210963</v>
      </c>
      <c r="Z859" s="3">
        <f t="shared" si="214"/>
        <v>-952259.91563252662</v>
      </c>
      <c r="AA859" s="3">
        <f t="shared" si="215"/>
        <v>12782979.744378667</v>
      </c>
      <c r="AB859" s="3">
        <f t="shared" si="216"/>
        <v>12707461.40210963</v>
      </c>
      <c r="AC859" s="3">
        <f t="shared" si="217"/>
        <v>-949759.91563252662</v>
      </c>
      <c r="AD859" s="3">
        <f t="shared" si="218"/>
        <v>12742904.660376627</v>
      </c>
      <c r="AE859" s="3">
        <f t="shared" si="219"/>
        <v>12722461.40210963</v>
      </c>
      <c r="AF859" s="3">
        <f t="shared" si="223"/>
        <v>-974759.91563252662</v>
      </c>
      <c r="AG859" s="3">
        <f t="shared" si="220"/>
        <v>12759748.470142085</v>
      </c>
      <c r="AH859" s="3">
        <f t="shared" si="221"/>
        <v>7.5049198391746244E-3</v>
      </c>
      <c r="AI859" s="3">
        <f t="shared" si="222"/>
        <v>-5.668159619727465E-4</v>
      </c>
    </row>
    <row r="860" spans="19:35" x14ac:dyDescent="0.3">
      <c r="S860" s="6">
        <v>843</v>
      </c>
      <c r="T860" s="4">
        <f t="shared" si="208"/>
        <v>421.5</v>
      </c>
      <c r="U860" s="3">
        <f t="shared" si="209"/>
        <v>-12755587.105986526</v>
      </c>
      <c r="V860" s="3">
        <f t="shared" si="210"/>
        <v>962073.12454775651</v>
      </c>
      <c r="W860" s="3">
        <f t="shared" si="211"/>
        <v>-28120.961025002063</v>
      </c>
      <c r="X860" s="3">
        <f t="shared" si="212"/>
        <v>2312.8507187341438</v>
      </c>
      <c r="Y860" s="3">
        <f t="shared" si="213"/>
        <v>12761525.045688398</v>
      </c>
      <c r="Z860" s="3">
        <f t="shared" si="214"/>
        <v>-953416.5798736295</v>
      </c>
      <c r="AA860" s="3">
        <f t="shared" si="215"/>
        <v>12797090.476608744</v>
      </c>
      <c r="AB860" s="3">
        <f t="shared" si="216"/>
        <v>12721525.045688398</v>
      </c>
      <c r="AC860" s="3">
        <f t="shared" si="217"/>
        <v>-950916.5798736295</v>
      </c>
      <c r="AD860" s="3">
        <f t="shared" si="218"/>
        <v>12757015.396633953</v>
      </c>
      <c r="AE860" s="3">
        <f t="shared" si="219"/>
        <v>12736525.045688398</v>
      </c>
      <c r="AF860" s="3">
        <f t="shared" si="223"/>
        <v>-975916.5798736295</v>
      </c>
      <c r="AG860" s="3">
        <f t="shared" si="220"/>
        <v>12773859.378054859</v>
      </c>
      <c r="AH860" s="3">
        <f t="shared" si="221"/>
        <v>7.4883536141414049E-3</v>
      </c>
      <c r="AI860" s="3">
        <f t="shared" si="222"/>
        <v>-5.6562029122421897E-4</v>
      </c>
    </row>
    <row r="861" spans="19:35" x14ac:dyDescent="0.3">
      <c r="S861" s="6">
        <v>844</v>
      </c>
      <c r="T861" s="4">
        <f t="shared" si="208"/>
        <v>422</v>
      </c>
      <c r="U861" s="3">
        <f t="shared" si="209"/>
        <v>-12769647.584626939</v>
      </c>
      <c r="V861" s="3">
        <f t="shared" si="210"/>
        <v>963229.54976571852</v>
      </c>
      <c r="W861" s="3">
        <f t="shared" si="211"/>
        <v>-28117.800939776895</v>
      </c>
      <c r="X861" s="3">
        <f t="shared" si="212"/>
        <v>2312.6120269712474</v>
      </c>
      <c r="Y861" s="3">
        <f t="shared" si="213"/>
        <v>12775587.105986526</v>
      </c>
      <c r="Z861" s="3">
        <f t="shared" si="214"/>
        <v>-954573.12454775651</v>
      </c>
      <c r="AA861" s="3">
        <f t="shared" si="215"/>
        <v>12811199.621922923</v>
      </c>
      <c r="AB861" s="3">
        <f t="shared" si="216"/>
        <v>12735587.105986526</v>
      </c>
      <c r="AC861" s="3">
        <f t="shared" si="217"/>
        <v>-952073.12454775651</v>
      </c>
      <c r="AD861" s="3">
        <f t="shared" si="218"/>
        <v>12771124.545969175</v>
      </c>
      <c r="AE861" s="3">
        <f t="shared" si="219"/>
        <v>12750587.105986526</v>
      </c>
      <c r="AF861" s="3">
        <f t="shared" si="223"/>
        <v>-977073.12454775651</v>
      </c>
      <c r="AG861" s="3">
        <f t="shared" si="220"/>
        <v>12787968.698666077</v>
      </c>
      <c r="AH861" s="3">
        <f t="shared" si="221"/>
        <v>7.4718440338082306E-3</v>
      </c>
      <c r="AI861" s="3">
        <f t="shared" si="222"/>
        <v>-5.6442853180818588E-4</v>
      </c>
    </row>
    <row r="862" spans="19:35" x14ac:dyDescent="0.3">
      <c r="S862" s="6">
        <v>845</v>
      </c>
      <c r="T862" s="4">
        <f t="shared" si="208"/>
        <v>422.5</v>
      </c>
      <c r="U862" s="3">
        <f t="shared" si="209"/>
        <v>-12783706.483228866</v>
      </c>
      <c r="V862" s="3">
        <f t="shared" si="210"/>
        <v>964385.85563809704</v>
      </c>
      <c r="W862" s="3">
        <f t="shared" si="211"/>
        <v>-28114.644085672611</v>
      </c>
      <c r="X862" s="3">
        <f t="shared" si="212"/>
        <v>2312.3735559165584</v>
      </c>
      <c r="Y862" s="3">
        <f t="shared" si="213"/>
        <v>12789647.584626939</v>
      </c>
      <c r="Z862" s="3">
        <f t="shared" si="214"/>
        <v>-955729.54976571852</v>
      </c>
      <c r="AA862" s="3">
        <f t="shared" si="215"/>
        <v>12825307.181944964</v>
      </c>
      <c r="AB862" s="3">
        <f t="shared" si="216"/>
        <v>12749647.584626939</v>
      </c>
      <c r="AC862" s="3">
        <f t="shared" si="217"/>
        <v>-953229.54976571852</v>
      </c>
      <c r="AD862" s="3">
        <f t="shared" si="218"/>
        <v>12785232.110006064</v>
      </c>
      <c r="AE862" s="3">
        <f t="shared" si="219"/>
        <v>12764647.584626939</v>
      </c>
      <c r="AF862" s="3">
        <f t="shared" si="223"/>
        <v>-978229.54976571852</v>
      </c>
      <c r="AG862" s="3">
        <f t="shared" si="220"/>
        <v>12802076.433600808</v>
      </c>
      <c r="AH862" s="3">
        <f t="shared" si="221"/>
        <v>7.4553908365717209E-3</v>
      </c>
      <c r="AI862" s="3">
        <f t="shared" si="222"/>
        <v>-5.6324066644267189E-4</v>
      </c>
    </row>
    <row r="863" spans="19:35" x14ac:dyDescent="0.3">
      <c r="S863" s="6">
        <v>846</v>
      </c>
      <c r="T863" s="4">
        <f t="shared" si="208"/>
        <v>423</v>
      </c>
      <c r="U863" s="3">
        <f t="shared" si="209"/>
        <v>-12797763.803407853</v>
      </c>
      <c r="V863" s="3">
        <f t="shared" si="210"/>
        <v>965542.04227524519</v>
      </c>
      <c r="W863" s="3">
        <f t="shared" si="211"/>
        <v>-28111.490455348743</v>
      </c>
      <c r="X863" s="3">
        <f t="shared" si="212"/>
        <v>2312.135305114653</v>
      </c>
      <c r="Y863" s="3">
        <f t="shared" si="213"/>
        <v>12803706.483228866</v>
      </c>
      <c r="Z863" s="3">
        <f t="shared" si="214"/>
        <v>-956885.85563809704</v>
      </c>
      <c r="AA863" s="3">
        <f t="shared" si="215"/>
        <v>12839413.158294937</v>
      </c>
      <c r="AB863" s="3">
        <f t="shared" si="216"/>
        <v>12763706.483228866</v>
      </c>
      <c r="AC863" s="3">
        <f t="shared" si="217"/>
        <v>-954385.85563809704</v>
      </c>
      <c r="AD863" s="3">
        <f t="shared" si="218"/>
        <v>12799338.090364698</v>
      </c>
      <c r="AE863" s="3">
        <f t="shared" si="219"/>
        <v>12778706.483228866</v>
      </c>
      <c r="AF863" s="3">
        <f t="shared" si="223"/>
        <v>-979385.85563809704</v>
      </c>
      <c r="AG863" s="3">
        <f t="shared" si="220"/>
        <v>12816182.584480427</v>
      </c>
      <c r="AH863" s="3">
        <f t="shared" si="221"/>
        <v>7.4389937623487237E-3</v>
      </c>
      <c r="AI863" s="3">
        <f t="shared" si="222"/>
        <v>-5.6205667794173532E-4</v>
      </c>
    </row>
    <row r="864" spans="19:35" x14ac:dyDescent="0.3">
      <c r="S864" s="6">
        <v>847</v>
      </c>
      <c r="T864" s="4">
        <f t="shared" si="208"/>
        <v>423.5</v>
      </c>
      <c r="U864" s="3">
        <f t="shared" si="209"/>
        <v>-12811819.546775779</v>
      </c>
      <c r="V864" s="3">
        <f t="shared" si="210"/>
        <v>966698.10978728824</v>
      </c>
      <c r="W864" s="3">
        <f t="shared" si="211"/>
        <v>-28108.340041490388</v>
      </c>
      <c r="X864" s="3">
        <f t="shared" si="212"/>
        <v>2311.8972741115444</v>
      </c>
      <c r="Y864" s="3">
        <f t="shared" si="213"/>
        <v>12817763.803407853</v>
      </c>
      <c r="Z864" s="3">
        <f t="shared" si="214"/>
        <v>-958042.04227524519</v>
      </c>
      <c r="AA864" s="3">
        <f t="shared" si="215"/>
        <v>12853517.552589232</v>
      </c>
      <c r="AB864" s="3">
        <f t="shared" si="216"/>
        <v>12777763.803407853</v>
      </c>
      <c r="AC864" s="3">
        <f t="shared" si="217"/>
        <v>-955542.04227524519</v>
      </c>
      <c r="AD864" s="3">
        <f t="shared" si="218"/>
        <v>12813442.488661487</v>
      </c>
      <c r="AE864" s="3">
        <f t="shared" si="219"/>
        <v>12792763.803407853</v>
      </c>
      <c r="AF864" s="3">
        <f t="shared" si="223"/>
        <v>-980542.04227524519</v>
      </c>
      <c r="AG864" s="3">
        <f t="shared" si="220"/>
        <v>12830287.152922628</v>
      </c>
      <c r="AH864" s="3">
        <f t="shared" si="221"/>
        <v>7.422652552565745E-3</v>
      </c>
      <c r="AI864" s="3">
        <f t="shared" si="222"/>
        <v>-5.6087654921483266E-4</v>
      </c>
    </row>
    <row r="865" spans="19:35" x14ac:dyDescent="0.3">
      <c r="S865" s="6">
        <v>848</v>
      </c>
      <c r="T865" s="4">
        <f t="shared" si="208"/>
        <v>424</v>
      </c>
      <c r="U865" s="3">
        <f t="shared" si="209"/>
        <v>-12825873.714940861</v>
      </c>
      <c r="V865" s="3">
        <f t="shared" si="210"/>
        <v>967854.05828412494</v>
      </c>
      <c r="W865" s="3">
        <f t="shared" si="211"/>
        <v>-28105.192836808099</v>
      </c>
      <c r="X865" s="3">
        <f t="shared" si="212"/>
        <v>2311.6594624546774</v>
      </c>
      <c r="Y865" s="3">
        <f t="shared" si="213"/>
        <v>12831819.546775779</v>
      </c>
      <c r="Z865" s="3">
        <f t="shared" si="214"/>
        <v>-959198.10978728824</v>
      </c>
      <c r="AA865" s="3">
        <f t="shared" si="215"/>
        <v>12867620.366440581</v>
      </c>
      <c r="AB865" s="3">
        <f t="shared" si="216"/>
        <v>12791819.546775779</v>
      </c>
      <c r="AC865" s="3">
        <f t="shared" si="217"/>
        <v>-956698.10978728824</v>
      </c>
      <c r="AD865" s="3">
        <f t="shared" si="218"/>
        <v>12827545.306509171</v>
      </c>
      <c r="AE865" s="3">
        <f t="shared" si="219"/>
        <v>12806819.546775779</v>
      </c>
      <c r="AF865" s="3">
        <f t="shared" si="223"/>
        <v>-981698.10978728824</v>
      </c>
      <c r="AG865" s="3">
        <f t="shared" si="220"/>
        <v>12844390.140541438</v>
      </c>
      <c r="AH865" s="3">
        <f t="shared" si="221"/>
        <v>7.4063669501480446E-3</v>
      </c>
      <c r="AI865" s="3">
        <f t="shared" si="222"/>
        <v>-5.5970026326615291E-4</v>
      </c>
    </row>
    <row r="866" spans="19:35" x14ac:dyDescent="0.3">
      <c r="S866" s="6">
        <v>849</v>
      </c>
      <c r="T866" s="4">
        <f t="shared" si="208"/>
        <v>424.5</v>
      </c>
      <c r="U866" s="3">
        <f t="shared" si="209"/>
        <v>-12839926.309507674</v>
      </c>
      <c r="V866" s="3">
        <f t="shared" si="210"/>
        <v>969009.88787542726</v>
      </c>
      <c r="W866" s="3">
        <f t="shared" si="211"/>
        <v>-28102.04883403776</v>
      </c>
      <c r="X866" s="3">
        <f t="shared" si="212"/>
        <v>2311.4218696929211</v>
      </c>
      <c r="Y866" s="3">
        <f t="shared" si="213"/>
        <v>12845873.714940861</v>
      </c>
      <c r="Z866" s="3">
        <f t="shared" si="214"/>
        <v>-960354.05828412494</v>
      </c>
      <c r="AA866" s="3">
        <f t="shared" si="215"/>
        <v>12881721.601458063</v>
      </c>
      <c r="AB866" s="3">
        <f t="shared" si="216"/>
        <v>12805873.714940861</v>
      </c>
      <c r="AC866" s="3">
        <f t="shared" si="217"/>
        <v>-957854.05828412494</v>
      </c>
      <c r="AD866" s="3">
        <f t="shared" si="218"/>
        <v>12841646.545516841</v>
      </c>
      <c r="AE866" s="3">
        <f t="shared" si="219"/>
        <v>12820873.714940861</v>
      </c>
      <c r="AF866" s="3">
        <f t="shared" si="223"/>
        <v>-982854.05828412494</v>
      </c>
      <c r="AG866" s="3">
        <f t="shared" si="220"/>
        <v>12858491.548947219</v>
      </c>
      <c r="AH866" s="3">
        <f t="shared" si="221"/>
        <v>7.390136699509605E-3</v>
      </c>
      <c r="AI866" s="3">
        <f t="shared" si="222"/>
        <v>-5.5852780319402069E-4</v>
      </c>
    </row>
    <row r="867" spans="19:35" x14ac:dyDescent="0.3">
      <c r="S867" s="6">
        <v>850</v>
      </c>
      <c r="T867" s="4">
        <f t="shared" si="208"/>
        <v>425</v>
      </c>
      <c r="U867" s="3">
        <f t="shared" si="209"/>
        <v>-12853977.332077159</v>
      </c>
      <c r="V867" s="3">
        <f t="shared" si="210"/>
        <v>970165.59867064178</v>
      </c>
      <c r="W867" s="3">
        <f t="shared" si="211"/>
        <v>-28098.908025940469</v>
      </c>
      <c r="X867" s="3">
        <f t="shared" si="212"/>
        <v>2311.1844953765635</v>
      </c>
      <c r="Y867" s="3">
        <f t="shared" si="213"/>
        <v>12859926.309507674</v>
      </c>
      <c r="Z867" s="3">
        <f t="shared" si="214"/>
        <v>-961509.88787542726</v>
      </c>
      <c r="AA867" s="3">
        <f t="shared" si="215"/>
        <v>12895821.259247117</v>
      </c>
      <c r="AB867" s="3">
        <f t="shared" si="216"/>
        <v>12819926.309507674</v>
      </c>
      <c r="AC867" s="3">
        <f t="shared" si="217"/>
        <v>-959009.88787542726</v>
      </c>
      <c r="AD867" s="3">
        <f t="shared" si="218"/>
        <v>12855746.207289947</v>
      </c>
      <c r="AE867" s="3">
        <f t="shared" si="219"/>
        <v>12834926.309507674</v>
      </c>
      <c r="AF867" s="3">
        <f t="shared" si="223"/>
        <v>-984009.88787542726</v>
      </c>
      <c r="AG867" s="3">
        <f t="shared" si="220"/>
        <v>12872591.379746694</v>
      </c>
      <c r="AH867" s="3">
        <f t="shared" si="221"/>
        <v>7.3739615465425968E-3</v>
      </c>
      <c r="AI867" s="3">
        <f t="shared" si="222"/>
        <v>-5.5735915219025541E-4</v>
      </c>
    </row>
    <row r="868" spans="19:35" x14ac:dyDescent="0.3">
      <c r="S868" s="6">
        <v>851</v>
      </c>
      <c r="T868" s="4">
        <f t="shared" si="208"/>
        <v>425.5</v>
      </c>
      <c r="U868" s="3">
        <f t="shared" si="209"/>
        <v>-12868026.784246638</v>
      </c>
      <c r="V868" s="3">
        <f t="shared" si="210"/>
        <v>971321.19077899028</v>
      </c>
      <c r="W868" s="3">
        <f t="shared" si="211"/>
        <v>-28095.770405302414</v>
      </c>
      <c r="X868" s="3">
        <f t="shared" si="212"/>
        <v>2310.9473390573066</v>
      </c>
      <c r="Y868" s="3">
        <f t="shared" si="213"/>
        <v>12873977.332077159</v>
      </c>
      <c r="Z868" s="3">
        <f t="shared" si="214"/>
        <v>-962665.59867064178</v>
      </c>
      <c r="AA868" s="3">
        <f t="shared" si="215"/>
        <v>12909919.341409551</v>
      </c>
      <c r="AB868" s="3">
        <f t="shared" si="216"/>
        <v>12833977.332077159</v>
      </c>
      <c r="AC868" s="3">
        <f t="shared" si="217"/>
        <v>-960165.59867064178</v>
      </c>
      <c r="AD868" s="3">
        <f t="shared" si="218"/>
        <v>12869844.293430317</v>
      </c>
      <c r="AE868" s="3">
        <f t="shared" si="219"/>
        <v>12848977.332077159</v>
      </c>
      <c r="AF868" s="3">
        <f t="shared" si="223"/>
        <v>-985165.59867064178</v>
      </c>
      <c r="AG868" s="3">
        <f t="shared" si="220"/>
        <v>12886689.634542951</v>
      </c>
      <c r="AH868" s="3">
        <f t="shared" si="221"/>
        <v>7.3578412386069549E-3</v>
      </c>
      <c r="AI868" s="3">
        <f t="shared" si="222"/>
        <v>-5.5619429353953988E-4</v>
      </c>
    </row>
    <row r="869" spans="19:35" x14ac:dyDescent="0.3">
      <c r="S869" s="6">
        <v>852</v>
      </c>
      <c r="T869" s="4">
        <f t="shared" si="208"/>
        <v>426</v>
      </c>
      <c r="U869" s="3">
        <f t="shared" si="209"/>
        <v>-12882074.667609829</v>
      </c>
      <c r="V869" s="3">
        <f t="shared" si="210"/>
        <v>972476.66430947033</v>
      </c>
      <c r="W869" s="3">
        <f t="shared" si="211"/>
        <v>-28092.635964934769</v>
      </c>
      <c r="X869" s="3">
        <f t="shared" si="212"/>
        <v>2310.7104002882588</v>
      </c>
      <c r="Y869" s="3">
        <f t="shared" si="213"/>
        <v>12888026.784246638</v>
      </c>
      <c r="Z869" s="3">
        <f t="shared" si="214"/>
        <v>-963821.19077899028</v>
      </c>
      <c r="AA869" s="3">
        <f t="shared" si="215"/>
        <v>12924015.84954357</v>
      </c>
      <c r="AB869" s="3">
        <f t="shared" si="216"/>
        <v>12848026.784246638</v>
      </c>
      <c r="AC869" s="3">
        <f t="shared" si="217"/>
        <v>-961321.19077899028</v>
      </c>
      <c r="AD869" s="3">
        <f t="shared" si="218"/>
        <v>12883940.80553616</v>
      </c>
      <c r="AE869" s="3">
        <f t="shared" si="219"/>
        <v>12863026.784246638</v>
      </c>
      <c r="AF869" s="3">
        <f t="shared" si="223"/>
        <v>-986321.19077899028</v>
      </c>
      <c r="AG869" s="3">
        <f t="shared" si="220"/>
        <v>12900786.314935463</v>
      </c>
      <c r="AH869" s="3">
        <f t="shared" si="221"/>
        <v>7.3417755245202216E-3</v>
      </c>
      <c r="AI869" s="3">
        <f t="shared" si="222"/>
        <v>-5.5503321061880747E-4</v>
      </c>
    </row>
    <row r="870" spans="19:35" x14ac:dyDescent="0.3">
      <c r="S870" s="6">
        <v>853</v>
      </c>
      <c r="T870" s="4">
        <f t="shared" si="208"/>
        <v>426.5</v>
      </c>
      <c r="U870" s="3">
        <f t="shared" si="209"/>
        <v>-12896120.983756853</v>
      </c>
      <c r="V870" s="3">
        <f t="shared" si="210"/>
        <v>973632.01937085611</v>
      </c>
      <c r="W870" s="3">
        <f t="shared" si="211"/>
        <v>-28089.504697673561</v>
      </c>
      <c r="X870" s="3">
        <f t="shared" si="212"/>
        <v>2310.47367862393</v>
      </c>
      <c r="Y870" s="3">
        <f t="shared" si="213"/>
        <v>12902074.667609829</v>
      </c>
      <c r="Z870" s="3">
        <f t="shared" si="214"/>
        <v>-964976.66430947033</v>
      </c>
      <c r="AA870" s="3">
        <f t="shared" si="215"/>
        <v>12938110.785243768</v>
      </c>
      <c r="AB870" s="3">
        <f t="shared" si="216"/>
        <v>12862074.667609829</v>
      </c>
      <c r="AC870" s="3">
        <f t="shared" si="217"/>
        <v>-962476.66430947033</v>
      </c>
      <c r="AD870" s="3">
        <f t="shared" si="218"/>
        <v>12898035.745202089</v>
      </c>
      <c r="AE870" s="3">
        <f t="shared" si="219"/>
        <v>12877074.667609829</v>
      </c>
      <c r="AF870" s="3">
        <f t="shared" si="223"/>
        <v>-987476.66430947033</v>
      </c>
      <c r="AG870" s="3">
        <f t="shared" si="220"/>
        <v>12914881.42252009</v>
      </c>
      <c r="AH870" s="3">
        <f t="shared" si="221"/>
        <v>7.3257641545476128E-3</v>
      </c>
      <c r="AI870" s="3">
        <f t="shared" si="222"/>
        <v>-5.538758868966437E-4</v>
      </c>
    </row>
    <row r="871" spans="19:35" x14ac:dyDescent="0.3">
      <c r="S871" s="6">
        <v>854</v>
      </c>
      <c r="T871" s="4">
        <f t="shared" si="208"/>
        <v>427</v>
      </c>
      <c r="U871" s="3">
        <f t="shared" si="209"/>
        <v>-12910165.73427425</v>
      </c>
      <c r="V871" s="3">
        <f t="shared" si="210"/>
        <v>974787.2560716992</v>
      </c>
      <c r="W871" s="3">
        <f t="shared" si="211"/>
        <v>-28086.37659637957</v>
      </c>
      <c r="X871" s="3">
        <f t="shared" si="212"/>
        <v>2310.2371736202253</v>
      </c>
      <c r="Y871" s="3">
        <f t="shared" si="213"/>
        <v>12916120.983756853</v>
      </c>
      <c r="Z871" s="3">
        <f t="shared" si="214"/>
        <v>-966132.01937085611</v>
      </c>
      <c r="AA871" s="3">
        <f t="shared" si="215"/>
        <v>12952204.150101159</v>
      </c>
      <c r="AB871" s="3">
        <f t="shared" si="216"/>
        <v>12876120.983756853</v>
      </c>
      <c r="AC871" s="3">
        <f t="shared" si="217"/>
        <v>-963632.01937085611</v>
      </c>
      <c r="AD871" s="3">
        <f t="shared" si="218"/>
        <v>12912129.114019126</v>
      </c>
      <c r="AE871" s="3">
        <f t="shared" si="219"/>
        <v>12891120.983756853</v>
      </c>
      <c r="AF871" s="3">
        <f t="shared" si="223"/>
        <v>-988632.01937085611</v>
      </c>
      <c r="AG871" s="3">
        <f t="shared" si="220"/>
        <v>12928974.958889106</v>
      </c>
      <c r="AH871" s="3">
        <f t="shared" si="221"/>
        <v>7.3098068803916921E-3</v>
      </c>
      <c r="AI871" s="3">
        <f t="shared" si="222"/>
        <v>-5.5272230593265709E-4</v>
      </c>
    </row>
    <row r="872" spans="19:35" x14ac:dyDescent="0.3">
      <c r="S872" s="6">
        <v>855</v>
      </c>
      <c r="T872" s="4">
        <f t="shared" si="208"/>
        <v>427.5</v>
      </c>
      <c r="U872" s="3">
        <f t="shared" si="209"/>
        <v>-12924208.920744987</v>
      </c>
      <c r="V872" s="3">
        <f t="shared" si="210"/>
        <v>975942.37452032871</v>
      </c>
      <c r="W872" s="3">
        <f t="shared" si="211"/>
        <v>-28083.251653938201</v>
      </c>
      <c r="X872" s="3">
        <f t="shared" si="212"/>
        <v>2310.0008848344391</v>
      </c>
      <c r="Y872" s="3">
        <f t="shared" si="213"/>
        <v>12930165.73427425</v>
      </c>
      <c r="Z872" s="3">
        <f t="shared" si="214"/>
        <v>-967287.2560716992</v>
      </c>
      <c r="AA872" s="3">
        <f t="shared" si="215"/>
        <v>12966295.945703177</v>
      </c>
      <c r="AB872" s="3">
        <f t="shared" si="216"/>
        <v>12890165.73427425</v>
      </c>
      <c r="AC872" s="3">
        <f t="shared" si="217"/>
        <v>-964787.2560716992</v>
      </c>
      <c r="AD872" s="3">
        <f t="shared" si="218"/>
        <v>12926220.913574716</v>
      </c>
      <c r="AE872" s="3">
        <f t="shared" si="219"/>
        <v>12905165.73427425</v>
      </c>
      <c r="AF872" s="3">
        <f t="shared" si="223"/>
        <v>-989787.2560716992</v>
      </c>
      <c r="AG872" s="3">
        <f t="shared" si="220"/>
        <v>12943066.925631195</v>
      </c>
      <c r="AH872" s="3">
        <f t="shared" si="221"/>
        <v>7.2939034551826945E-3</v>
      </c>
      <c r="AI872" s="3">
        <f t="shared" si="222"/>
        <v>-5.5157245137689849E-4</v>
      </c>
    </row>
    <row r="873" spans="19:35" x14ac:dyDescent="0.3">
      <c r="S873" s="6">
        <v>856</v>
      </c>
      <c r="T873" s="4">
        <f t="shared" si="208"/>
        <v>428</v>
      </c>
      <c r="U873" s="3">
        <f t="shared" si="209"/>
        <v>-12938250.544748481</v>
      </c>
      <c r="V873" s="3">
        <f t="shared" si="210"/>
        <v>977097.3748248528</v>
      </c>
      <c r="W873" s="3">
        <f t="shared" si="211"/>
        <v>-28080.129863259383</v>
      </c>
      <c r="X873" s="3">
        <f t="shared" si="212"/>
        <v>2309.76481182525</v>
      </c>
      <c r="Y873" s="3">
        <f t="shared" si="213"/>
        <v>12944208.920744987</v>
      </c>
      <c r="Z873" s="3">
        <f t="shared" si="214"/>
        <v>-968442.37452032871</v>
      </c>
      <c r="AA873" s="3">
        <f t="shared" si="215"/>
        <v>12980386.173633689</v>
      </c>
      <c r="AB873" s="3">
        <f t="shared" si="216"/>
        <v>12904208.920744987</v>
      </c>
      <c r="AC873" s="3">
        <f t="shared" si="217"/>
        <v>-965942.37452032871</v>
      </c>
      <c r="AD873" s="3">
        <f t="shared" si="218"/>
        <v>12940311.145452743</v>
      </c>
      <c r="AE873" s="3">
        <f t="shared" si="219"/>
        <v>12919208.920744987</v>
      </c>
      <c r="AF873" s="3">
        <f t="shared" si="223"/>
        <v>-990942.37452032871</v>
      </c>
      <c r="AG873" s="3">
        <f t="shared" si="220"/>
        <v>12957157.324331477</v>
      </c>
      <c r="AH873" s="3">
        <f t="shared" si="221"/>
        <v>7.2780536334681794E-3</v>
      </c>
      <c r="AI873" s="3">
        <f t="shared" si="222"/>
        <v>-5.5042630696922642E-4</v>
      </c>
    </row>
    <row r="874" spans="19:35" x14ac:dyDescent="0.3">
      <c r="S874" s="6">
        <v>857</v>
      </c>
      <c r="T874" s="4">
        <f t="shared" si="208"/>
        <v>428.5</v>
      </c>
      <c r="U874" s="3">
        <f t="shared" si="209"/>
        <v>-12952290.607860597</v>
      </c>
      <c r="V874" s="3">
        <f t="shared" si="210"/>
        <v>978252.2570931589</v>
      </c>
      <c r="W874" s="3">
        <f t="shared" si="211"/>
        <v>-28077.011217277442</v>
      </c>
      <c r="X874" s="3">
        <f t="shared" si="212"/>
        <v>2309.5289541527136</v>
      </c>
      <c r="Y874" s="3">
        <f t="shared" si="213"/>
        <v>12958250.544748481</v>
      </c>
      <c r="Z874" s="3">
        <f t="shared" si="214"/>
        <v>-969597.3748248528</v>
      </c>
      <c r="AA874" s="3">
        <f t="shared" si="215"/>
        <v>12994474.83547302</v>
      </c>
      <c r="AB874" s="3">
        <f t="shared" si="216"/>
        <v>12918250.544748481</v>
      </c>
      <c r="AC874" s="3">
        <f t="shared" si="217"/>
        <v>-967097.3748248528</v>
      </c>
      <c r="AD874" s="3">
        <f t="shared" si="218"/>
        <v>12954399.811233539</v>
      </c>
      <c r="AE874" s="3">
        <f t="shared" si="219"/>
        <v>12933250.544748481</v>
      </c>
      <c r="AF874" s="3">
        <f t="shared" si="223"/>
        <v>-992097.3748248528</v>
      </c>
      <c r="AG874" s="3">
        <f t="shared" si="220"/>
        <v>12971246.156571513</v>
      </c>
      <c r="AH874" s="3">
        <f t="shared" si="221"/>
        <v>7.262257171203791E-3</v>
      </c>
      <c r="AI874" s="3">
        <f t="shared" si="222"/>
        <v>-5.492838565387565E-4</v>
      </c>
    </row>
    <row r="875" spans="19:35" x14ac:dyDescent="0.3">
      <c r="S875" s="6">
        <v>858</v>
      </c>
      <c r="T875" s="4">
        <f t="shared" si="208"/>
        <v>429</v>
      </c>
      <c r="U875" s="3">
        <f t="shared" si="209"/>
        <v>-12966329.111653671</v>
      </c>
      <c r="V875" s="3">
        <f t="shared" si="210"/>
        <v>979407.02143291431</v>
      </c>
      <c r="W875" s="3">
        <f t="shared" si="211"/>
        <v>-28073.895708950997</v>
      </c>
      <c r="X875" s="3">
        <f t="shared" si="212"/>
        <v>2309.2933113782583</v>
      </c>
      <c r="Y875" s="3">
        <f t="shared" si="213"/>
        <v>12972290.607860597</v>
      </c>
      <c r="Z875" s="3">
        <f t="shared" si="214"/>
        <v>-970752.2570931589</v>
      </c>
      <c r="AA875" s="3">
        <f t="shared" si="215"/>
        <v>13008561.932797942</v>
      </c>
      <c r="AB875" s="3">
        <f t="shared" si="216"/>
        <v>12932290.607860597</v>
      </c>
      <c r="AC875" s="3">
        <f t="shared" si="217"/>
        <v>-968252.2570931589</v>
      </c>
      <c r="AD875" s="3">
        <f t="shared" si="218"/>
        <v>12968486.912493894</v>
      </c>
      <c r="AE875" s="3">
        <f t="shared" si="219"/>
        <v>12947290.607860597</v>
      </c>
      <c r="AF875" s="3">
        <f t="shared" si="223"/>
        <v>-993252.2570931589</v>
      </c>
      <c r="AG875" s="3">
        <f t="shared" si="220"/>
        <v>12985333.423929317</v>
      </c>
      <c r="AH875" s="3">
        <f t="shared" si="221"/>
        <v>7.2465138257431522E-3</v>
      </c>
      <c r="AI875" s="3">
        <f t="shared" si="222"/>
        <v>-5.481450840032438E-4</v>
      </c>
    </row>
    <row r="876" spans="19:35" x14ac:dyDescent="0.3">
      <c r="S876" s="6">
        <v>859</v>
      </c>
      <c r="T876" s="4">
        <f t="shared" si="208"/>
        <v>429.5</v>
      </c>
      <c r="U876" s="3">
        <f t="shared" si="209"/>
        <v>-12980366.057696518</v>
      </c>
      <c r="V876" s="3">
        <f t="shared" si="210"/>
        <v>980561.6679515671</v>
      </c>
      <c r="W876" s="3">
        <f t="shared" si="211"/>
        <v>-28070.783331262839</v>
      </c>
      <c r="X876" s="3">
        <f t="shared" si="212"/>
        <v>2309.0578830646791</v>
      </c>
      <c r="Y876" s="3">
        <f t="shared" si="213"/>
        <v>12986329.111653671</v>
      </c>
      <c r="Z876" s="3">
        <f t="shared" si="214"/>
        <v>-971907.02143291431</v>
      </c>
      <c r="AA876" s="3">
        <f t="shared" si="215"/>
        <v>13022647.467181711</v>
      </c>
      <c r="AB876" s="3">
        <f t="shared" si="216"/>
        <v>12946329.111653671</v>
      </c>
      <c r="AC876" s="3">
        <f t="shared" si="217"/>
        <v>-969407.02143291431</v>
      </c>
      <c r="AD876" s="3">
        <f t="shared" si="218"/>
        <v>12982572.450807072</v>
      </c>
      <c r="AE876" s="3">
        <f t="shared" si="219"/>
        <v>12961329.111653671</v>
      </c>
      <c r="AF876" s="3">
        <f t="shared" si="223"/>
        <v>-994407.02143291431</v>
      </c>
      <c r="AG876" s="3">
        <f t="shared" si="220"/>
        <v>12999419.127979374</v>
      </c>
      <c r="AH876" s="3">
        <f t="shared" si="221"/>
        <v>7.2308233558284109E-3</v>
      </c>
      <c r="AI876" s="3">
        <f t="shared" si="222"/>
        <v>-5.4700997336851144E-4</v>
      </c>
    </row>
    <row r="877" spans="19:35" x14ac:dyDescent="0.3">
      <c r="S877" s="6">
        <v>860</v>
      </c>
      <c r="T877" s="4">
        <f t="shared" si="208"/>
        <v>430</v>
      </c>
      <c r="U877" s="3">
        <f t="shared" si="209"/>
        <v>-12994401.447554443</v>
      </c>
      <c r="V877" s="3">
        <f t="shared" si="210"/>
        <v>981716.19675634697</v>
      </c>
      <c r="W877" s="3">
        <f t="shared" si="211"/>
        <v>-28067.674077219832</v>
      </c>
      <c r="X877" s="3">
        <f t="shared" si="212"/>
        <v>2308.8226687761307</v>
      </c>
      <c r="Y877" s="3">
        <f t="shared" si="213"/>
        <v>13000366.057696518</v>
      </c>
      <c r="Z877" s="3">
        <f t="shared" si="214"/>
        <v>-973061.6679515671</v>
      </c>
      <c r="AA877" s="3">
        <f t="shared" si="215"/>
        <v>13036731.440194063</v>
      </c>
      <c r="AB877" s="3">
        <f t="shared" si="216"/>
        <v>12960366.057696518</v>
      </c>
      <c r="AC877" s="3">
        <f t="shared" si="217"/>
        <v>-970561.6679515671</v>
      </c>
      <c r="AD877" s="3">
        <f t="shared" si="218"/>
        <v>12996656.427742826</v>
      </c>
      <c r="AE877" s="3">
        <f t="shared" si="219"/>
        <v>12975366.057696518</v>
      </c>
      <c r="AF877" s="3">
        <f t="shared" si="223"/>
        <v>-995561.6679515671</v>
      </c>
      <c r="AG877" s="3">
        <f t="shared" si="220"/>
        <v>13013503.270292645</v>
      </c>
      <c r="AH877" s="3">
        <f t="shared" si="221"/>
        <v>7.2151855215804341E-3</v>
      </c>
      <c r="AI877" s="3">
        <f t="shared" si="222"/>
        <v>-5.4587850872785289E-4</v>
      </c>
    </row>
    <row r="878" spans="19:35" x14ac:dyDescent="0.3">
      <c r="S878" s="6">
        <v>861</v>
      </c>
      <c r="T878" s="4">
        <f t="shared" si="208"/>
        <v>430.5</v>
      </c>
      <c r="U878" s="3">
        <f t="shared" si="209"/>
        <v>-13008435.282789256</v>
      </c>
      <c r="V878" s="3">
        <f t="shared" si="210"/>
        <v>982870.60795426543</v>
      </c>
      <c r="W878" s="3">
        <f t="shared" si="211"/>
        <v>-28064.56793985279</v>
      </c>
      <c r="X878" s="3">
        <f t="shared" si="212"/>
        <v>2308.5876680781234</v>
      </c>
      <c r="Y878" s="3">
        <f t="shared" si="213"/>
        <v>13014401.447554443</v>
      </c>
      <c r="Z878" s="3">
        <f t="shared" si="214"/>
        <v>-974216.19675634697</v>
      </c>
      <c r="AA878" s="3">
        <f t="shared" si="215"/>
        <v>13050813.853401234</v>
      </c>
      <c r="AB878" s="3">
        <f t="shared" si="216"/>
        <v>12974401.447554443</v>
      </c>
      <c r="AC878" s="3">
        <f t="shared" si="217"/>
        <v>-971716.19675634697</v>
      </c>
      <c r="AD878" s="3">
        <f t="shared" si="218"/>
        <v>13010738.844867399</v>
      </c>
      <c r="AE878" s="3">
        <f t="shared" si="219"/>
        <v>12989401.447554443</v>
      </c>
      <c r="AF878" s="3">
        <f t="shared" si="223"/>
        <v>-996716.19675634697</v>
      </c>
      <c r="AG878" s="3">
        <f t="shared" si="220"/>
        <v>13027585.852436587</v>
      </c>
      <c r="AH878" s="3">
        <f t="shared" si="221"/>
        <v>7.1996000844895894E-3</v>
      </c>
      <c r="AI878" s="3">
        <f t="shared" si="222"/>
        <v>-5.4475067426147737E-4</v>
      </c>
    </row>
    <row r="879" spans="19:35" x14ac:dyDescent="0.3">
      <c r="S879" s="6">
        <v>862</v>
      </c>
      <c r="T879" s="4">
        <f t="shared" si="208"/>
        <v>431</v>
      </c>
      <c r="U879" s="3">
        <f t="shared" si="209"/>
        <v>-13022467.564959282</v>
      </c>
      <c r="V879" s="3">
        <f t="shared" si="210"/>
        <v>984024.90165211679</v>
      </c>
      <c r="W879" s="3">
        <f t="shared" si="211"/>
        <v>-28061.464912216376</v>
      </c>
      <c r="X879" s="3">
        <f t="shared" si="212"/>
        <v>2308.3528805375167</v>
      </c>
      <c r="Y879" s="3">
        <f t="shared" si="213"/>
        <v>13028435.282789256</v>
      </c>
      <c r="Z879" s="3">
        <f t="shared" si="214"/>
        <v>-975370.60795426543</v>
      </c>
      <c r="AA879" s="3">
        <f t="shared" si="215"/>
        <v>13064894.708365966</v>
      </c>
      <c r="AB879" s="3">
        <f t="shared" si="216"/>
        <v>12988435.282789256</v>
      </c>
      <c r="AC879" s="3">
        <f t="shared" si="217"/>
        <v>-972870.60795426543</v>
      </c>
      <c r="AD879" s="3">
        <f t="shared" si="218"/>
        <v>13024819.703743547</v>
      </c>
      <c r="AE879" s="3">
        <f t="shared" si="219"/>
        <v>13003435.282789256</v>
      </c>
      <c r="AF879" s="3">
        <f t="shared" si="223"/>
        <v>-997870.60795426543</v>
      </c>
      <c r="AG879" s="3">
        <f t="shared" si="220"/>
        <v>13041666.875975152</v>
      </c>
      <c r="AH879" s="3">
        <f t="shared" si="221"/>
        <v>7.1840668074061483E-3</v>
      </c>
      <c r="AI879" s="3">
        <f t="shared" si="222"/>
        <v>-5.4362645423592412E-4</v>
      </c>
    </row>
    <row r="880" spans="19:35" x14ac:dyDescent="0.3">
      <c r="S880" s="6">
        <v>863</v>
      </c>
      <c r="T880" s="4">
        <f t="shared" si="208"/>
        <v>431.5</v>
      </c>
      <c r="U880" s="3">
        <f t="shared" si="209"/>
        <v>-13036498.295619374</v>
      </c>
      <c r="V880" s="3">
        <f t="shared" si="210"/>
        <v>985179.07795647893</v>
      </c>
      <c r="W880" s="3">
        <f t="shared" si="211"/>
        <v>-28058.364987388981</v>
      </c>
      <c r="X880" s="3">
        <f t="shared" si="212"/>
        <v>2308.1183057225139</v>
      </c>
      <c r="Y880" s="3">
        <f t="shared" si="213"/>
        <v>13042467.564959282</v>
      </c>
      <c r="Z880" s="3">
        <f t="shared" si="214"/>
        <v>-976524.90165211679</v>
      </c>
      <c r="AA880" s="3">
        <f t="shared" si="215"/>
        <v>13078974.006647523</v>
      </c>
      <c r="AB880" s="3">
        <f t="shared" si="216"/>
        <v>13002467.564959282</v>
      </c>
      <c r="AC880" s="3">
        <f t="shared" si="217"/>
        <v>-974024.90165211679</v>
      </c>
      <c r="AD880" s="3">
        <f t="shared" si="218"/>
        <v>13038899.005930545</v>
      </c>
      <c r="AE880" s="3">
        <f t="shared" si="219"/>
        <v>13017467.564959282</v>
      </c>
      <c r="AF880" s="3">
        <f t="shared" si="223"/>
        <v>-999024.90165211679</v>
      </c>
      <c r="AG880" s="3">
        <f t="shared" si="220"/>
        <v>13055746.342468821</v>
      </c>
      <c r="AH880" s="3">
        <f t="shared" si="221"/>
        <v>7.168585454531055E-3</v>
      </c>
      <c r="AI880" s="3">
        <f t="shared" si="222"/>
        <v>-5.4250583300350307E-4</v>
      </c>
    </row>
    <row r="881" spans="19:35" x14ac:dyDescent="0.3">
      <c r="S881" s="6">
        <v>864</v>
      </c>
      <c r="T881" s="4">
        <f t="shared" si="208"/>
        <v>432</v>
      </c>
      <c r="U881" s="3">
        <f t="shared" si="209"/>
        <v>-13050527.476320922</v>
      </c>
      <c r="V881" s="3">
        <f t="shared" si="210"/>
        <v>986333.13697371376</v>
      </c>
      <c r="W881" s="3">
        <f t="shared" si="211"/>
        <v>-28055.268158472623</v>
      </c>
      <c r="X881" s="3">
        <f t="shared" si="212"/>
        <v>2307.8839432026566</v>
      </c>
      <c r="Y881" s="3">
        <f t="shared" si="213"/>
        <v>13056498.295619374</v>
      </c>
      <c r="Z881" s="3">
        <f t="shared" si="214"/>
        <v>-977679.07795647893</v>
      </c>
      <c r="AA881" s="3">
        <f t="shared" si="215"/>
        <v>13093051.749801705</v>
      </c>
      <c r="AB881" s="3">
        <f t="shared" si="216"/>
        <v>13016498.295619374</v>
      </c>
      <c r="AC881" s="3">
        <f t="shared" si="217"/>
        <v>-975179.07795647893</v>
      </c>
      <c r="AD881" s="3">
        <f t="shared" si="218"/>
        <v>13052976.752984207</v>
      </c>
      <c r="AE881" s="3">
        <f t="shared" si="219"/>
        <v>13031498.295619374</v>
      </c>
      <c r="AF881" s="3">
        <f t="shared" si="223"/>
        <v>-1000179.0779564789</v>
      </c>
      <c r="AG881" s="3">
        <f t="shared" si="220"/>
        <v>13069824.253474586</v>
      </c>
      <c r="AH881" s="3">
        <f t="shared" si="221"/>
        <v>7.1531557914065423E-3</v>
      </c>
      <c r="AI881" s="3">
        <f t="shared" si="222"/>
        <v>-5.4138879500172435E-4</v>
      </c>
    </row>
    <row r="882" spans="19:35" x14ac:dyDescent="0.3">
      <c r="S882" s="6">
        <v>865</v>
      </c>
      <c r="T882" s="4">
        <f t="shared" si="208"/>
        <v>432.5</v>
      </c>
      <c r="U882" s="3">
        <f t="shared" si="209"/>
        <v>-13064555.108611871</v>
      </c>
      <c r="V882" s="3">
        <f t="shared" si="210"/>
        <v>987487.07880996785</v>
      </c>
      <c r="W882" s="3">
        <f t="shared" si="211"/>
        <v>-28052.17441859284</v>
      </c>
      <c r="X882" s="3">
        <f t="shared" si="212"/>
        <v>2307.6497925488184</v>
      </c>
      <c r="Y882" s="3">
        <f t="shared" si="213"/>
        <v>13070527.476320922</v>
      </c>
      <c r="Z882" s="3">
        <f t="shared" si="214"/>
        <v>-978833.13697371376</v>
      </c>
      <c r="AA882" s="3">
        <f t="shared" si="215"/>
        <v>13107127.939380847</v>
      </c>
      <c r="AB882" s="3">
        <f t="shared" si="216"/>
        <v>13030527.476320922</v>
      </c>
      <c r="AC882" s="3">
        <f t="shared" si="217"/>
        <v>-976333.13697371376</v>
      </c>
      <c r="AD882" s="3">
        <f t="shared" si="218"/>
        <v>13067052.946456881</v>
      </c>
      <c r="AE882" s="3">
        <f t="shared" si="219"/>
        <v>13045527.476320922</v>
      </c>
      <c r="AF882" s="3">
        <f t="shared" si="223"/>
        <v>-1001333.1369737138</v>
      </c>
      <c r="AG882" s="3">
        <f t="shared" si="220"/>
        <v>13083900.610545991</v>
      </c>
      <c r="AH882" s="3">
        <f t="shared" si="221"/>
        <v>7.1377775849071328E-3</v>
      </c>
      <c r="AI882" s="3">
        <f t="shared" si="222"/>
        <v>-5.4027532475275377E-4</v>
      </c>
    </row>
    <row r="883" spans="19:35" x14ac:dyDescent="0.3">
      <c r="S883" s="6">
        <v>866</v>
      </c>
      <c r="T883" s="4">
        <f t="shared" si="208"/>
        <v>433</v>
      </c>
      <c r="U883" s="3">
        <f t="shared" si="209"/>
        <v>-13078581.194036724</v>
      </c>
      <c r="V883" s="3">
        <f t="shared" si="210"/>
        <v>988640.90357117343</v>
      </c>
      <c r="W883" s="3">
        <f t="shared" si="211"/>
        <v>-28049.083760898575</v>
      </c>
      <c r="X883" s="3">
        <f t="shared" si="212"/>
        <v>2307.4158533332006</v>
      </c>
      <c r="Y883" s="3">
        <f t="shared" si="213"/>
        <v>13084555.108611871</v>
      </c>
      <c r="Z883" s="3">
        <f t="shared" si="214"/>
        <v>-979987.07880996785</v>
      </c>
      <c r="AA883" s="3">
        <f t="shared" si="215"/>
        <v>13121202.57693385</v>
      </c>
      <c r="AB883" s="3">
        <f t="shared" si="216"/>
        <v>13044555.108611871</v>
      </c>
      <c r="AC883" s="3">
        <f t="shared" si="217"/>
        <v>-977487.07880996785</v>
      </c>
      <c r="AD883" s="3">
        <f t="shared" si="218"/>
        <v>13081127.587897478</v>
      </c>
      <c r="AE883" s="3">
        <f t="shared" si="219"/>
        <v>13059555.108611871</v>
      </c>
      <c r="AF883" s="3">
        <f t="shared" si="223"/>
        <v>-1002487.0788099678</v>
      </c>
      <c r="AG883" s="3">
        <f t="shared" si="220"/>
        <v>13097975.415233124</v>
      </c>
      <c r="AH883" s="3">
        <f t="shared" si="221"/>
        <v>7.1224506032303205E-3</v>
      </c>
      <c r="AI883" s="3">
        <f t="shared" si="222"/>
        <v>-5.3916540686284298E-4</v>
      </c>
    </row>
    <row r="884" spans="19:35" x14ac:dyDescent="0.3">
      <c r="S884" s="6">
        <v>867</v>
      </c>
      <c r="T884" s="4">
        <f t="shared" si="208"/>
        <v>433.5</v>
      </c>
      <c r="U884" s="3">
        <f t="shared" si="209"/>
        <v>-13092605.734136561</v>
      </c>
      <c r="V884" s="3">
        <f t="shared" si="210"/>
        <v>989794.61136304867</v>
      </c>
      <c r="W884" s="3">
        <f t="shared" si="211"/>
        <v>-28045.996178562076</v>
      </c>
      <c r="X884" s="3">
        <f t="shared" si="212"/>
        <v>2307.1821251293254</v>
      </c>
      <c r="Y884" s="3">
        <f t="shared" si="213"/>
        <v>13098581.194036724</v>
      </c>
      <c r="Z884" s="3">
        <f t="shared" si="214"/>
        <v>-981140.90357117343</v>
      </c>
      <c r="AA884" s="3">
        <f t="shared" si="215"/>
        <v>13135275.664006181</v>
      </c>
      <c r="AB884" s="3">
        <f t="shared" si="216"/>
        <v>13058581.194036724</v>
      </c>
      <c r="AC884" s="3">
        <f t="shared" si="217"/>
        <v>-978640.90357117343</v>
      </c>
      <c r="AD884" s="3">
        <f t="shared" si="218"/>
        <v>13095200.678851478</v>
      </c>
      <c r="AE884" s="3">
        <f t="shared" si="219"/>
        <v>13073581.194036724</v>
      </c>
      <c r="AF884" s="3">
        <f t="shared" si="223"/>
        <v>-1003640.9035711734</v>
      </c>
      <c r="AG884" s="3">
        <f t="shared" si="220"/>
        <v>13112048.66908264</v>
      </c>
      <c r="AH884" s="3">
        <f t="shared" si="221"/>
        <v>7.1071746158875432E-3</v>
      </c>
      <c r="AI884" s="3">
        <f t="shared" si="222"/>
        <v>-5.3805902602178165E-4</v>
      </c>
    </row>
    <row r="885" spans="19:35" x14ac:dyDescent="0.3">
      <c r="S885" s="6">
        <v>868</v>
      </c>
      <c r="T885" s="4">
        <f t="shared" si="208"/>
        <v>434</v>
      </c>
      <c r="U885" s="3">
        <f t="shared" si="209"/>
        <v>-13106628.730449049</v>
      </c>
      <c r="V885" s="3">
        <f t="shared" si="210"/>
        <v>990948.20229109854</v>
      </c>
      <c r="W885" s="3">
        <f t="shared" si="211"/>
        <v>-28042.911664778781</v>
      </c>
      <c r="X885" s="3">
        <f t="shared" si="212"/>
        <v>2306.9486075120321</v>
      </c>
      <c r="Y885" s="3">
        <f t="shared" si="213"/>
        <v>13112605.734136561</v>
      </c>
      <c r="Z885" s="3">
        <f t="shared" si="214"/>
        <v>-982294.61136304867</v>
      </c>
      <c r="AA885" s="3">
        <f t="shared" si="215"/>
        <v>13149347.202139881</v>
      </c>
      <c r="AB885" s="3">
        <f t="shared" si="216"/>
        <v>13072605.734136561</v>
      </c>
      <c r="AC885" s="3">
        <f t="shared" si="217"/>
        <v>-979794.61136304867</v>
      </c>
      <c r="AD885" s="3">
        <f t="shared" si="218"/>
        <v>13109272.220860934</v>
      </c>
      <c r="AE885" s="3">
        <f t="shared" si="219"/>
        <v>13087605.734136561</v>
      </c>
      <c r="AF885" s="3">
        <f t="shared" si="223"/>
        <v>-1004794.6113630487</v>
      </c>
      <c r="AG885" s="3">
        <f t="shared" si="220"/>
        <v>13126120.373637764</v>
      </c>
      <c r="AH885" s="3">
        <f t="shared" si="221"/>
        <v>7.0919493936953595E-3</v>
      </c>
      <c r="AI885" s="3">
        <f t="shared" si="222"/>
        <v>-5.3695616700236311E-4</v>
      </c>
    </row>
    <row r="886" spans="19:35" x14ac:dyDescent="0.3">
      <c r="S886" s="6">
        <v>869</v>
      </c>
      <c r="T886" s="4">
        <f t="shared" si="208"/>
        <v>434.5</v>
      </c>
      <c r="U886" s="3">
        <f t="shared" si="209"/>
        <v>-13120650.184508452</v>
      </c>
      <c r="V886" s="3">
        <f t="shared" si="210"/>
        <v>992101.67646061548</v>
      </c>
      <c r="W886" s="3">
        <f t="shared" si="211"/>
        <v>-28039.830212767221</v>
      </c>
      <c r="X886" s="3">
        <f t="shared" si="212"/>
        <v>2306.7153000574694</v>
      </c>
      <c r="Y886" s="3">
        <f t="shared" si="213"/>
        <v>13126628.730449049</v>
      </c>
      <c r="Z886" s="3">
        <f t="shared" si="214"/>
        <v>-983448.20229109854</v>
      </c>
      <c r="AA886" s="3">
        <f t="shared" si="215"/>
        <v>13163417.19287359</v>
      </c>
      <c r="AB886" s="3">
        <f t="shared" si="216"/>
        <v>13086628.730449049</v>
      </c>
      <c r="AC886" s="3">
        <f t="shared" si="217"/>
        <v>-980948.20229109854</v>
      </c>
      <c r="AD886" s="3">
        <f t="shared" si="218"/>
        <v>13123342.215464497</v>
      </c>
      <c r="AE886" s="3">
        <f t="shared" si="219"/>
        <v>13101628.730449049</v>
      </c>
      <c r="AF886" s="3">
        <f t="shared" si="223"/>
        <v>-1005948.2022910985</v>
      </c>
      <c r="AG886" s="3">
        <f t="shared" si="220"/>
        <v>13140190.530438311</v>
      </c>
      <c r="AH886" s="3">
        <f t="shared" si="221"/>
        <v>7.0767747087663799E-3</v>
      </c>
      <c r="AI886" s="3">
        <f t="shared" si="222"/>
        <v>-5.3585681465982899E-4</v>
      </c>
    </row>
    <row r="887" spans="19:35" x14ac:dyDescent="0.3">
      <c r="S887" s="6">
        <v>870</v>
      </c>
      <c r="T887" s="4">
        <f t="shared" si="208"/>
        <v>435</v>
      </c>
      <c r="U887" s="3">
        <f t="shared" si="209"/>
        <v>-13134670.097845642</v>
      </c>
      <c r="V887" s="3">
        <f t="shared" si="210"/>
        <v>993255.03397668002</v>
      </c>
      <c r="W887" s="3">
        <f t="shared" si="211"/>
        <v>-28036.751815768908</v>
      </c>
      <c r="X887" s="3">
        <f t="shared" si="212"/>
        <v>2306.4822023430925</v>
      </c>
      <c r="Y887" s="3">
        <f t="shared" si="213"/>
        <v>13140650.184508452</v>
      </c>
      <c r="Z887" s="3">
        <f t="shared" si="214"/>
        <v>-984601.67646061548</v>
      </c>
      <c r="AA887" s="3">
        <f t="shared" si="215"/>
        <v>13177485.637742547</v>
      </c>
      <c r="AB887" s="3">
        <f t="shared" si="216"/>
        <v>13100650.184508452</v>
      </c>
      <c r="AC887" s="3">
        <f t="shared" si="217"/>
        <v>-982101.67646061548</v>
      </c>
      <c r="AD887" s="3">
        <f t="shared" si="218"/>
        <v>13137410.664197421</v>
      </c>
      <c r="AE887" s="3">
        <f t="shared" si="219"/>
        <v>13115650.184508452</v>
      </c>
      <c r="AF887" s="3">
        <f t="shared" si="223"/>
        <v>-1007101.6764606155</v>
      </c>
      <c r="AG887" s="3">
        <f t="shared" si="220"/>
        <v>13154259.141020689</v>
      </c>
      <c r="AH887" s="3">
        <f t="shared" si="221"/>
        <v>7.0616503345006746E-3</v>
      </c>
      <c r="AI887" s="3">
        <f t="shared" si="222"/>
        <v>-5.3476095393135102E-4</v>
      </c>
    </row>
    <row r="888" spans="19:35" x14ac:dyDescent="0.3">
      <c r="S888" s="6">
        <v>871</v>
      </c>
      <c r="T888" s="4">
        <f t="shared" si="208"/>
        <v>435.5</v>
      </c>
      <c r="U888" s="3">
        <f t="shared" si="209"/>
        <v>-13148688.471988114</v>
      </c>
      <c r="V888" s="3">
        <f t="shared" si="210"/>
        <v>994408.27494416141</v>
      </c>
      <c r="W888" s="3">
        <f t="shared" si="211"/>
        <v>-28033.676467048233</v>
      </c>
      <c r="X888" s="3">
        <f t="shared" si="212"/>
        <v>2306.2493139476555</v>
      </c>
      <c r="Y888" s="3">
        <f t="shared" si="213"/>
        <v>13154670.097845642</v>
      </c>
      <c r="Z888" s="3">
        <f t="shared" si="214"/>
        <v>-985755.03397668002</v>
      </c>
      <c r="AA888" s="3">
        <f t="shared" si="215"/>
        <v>13191552.538278604</v>
      </c>
      <c r="AB888" s="3">
        <f t="shared" si="216"/>
        <v>13114670.097845642</v>
      </c>
      <c r="AC888" s="3">
        <f t="shared" si="217"/>
        <v>-983255.03397668002</v>
      </c>
      <c r="AD888" s="3">
        <f t="shared" si="218"/>
        <v>13151477.568591565</v>
      </c>
      <c r="AE888" s="3">
        <f t="shared" si="219"/>
        <v>13129670.097845642</v>
      </c>
      <c r="AF888" s="3">
        <f t="shared" si="223"/>
        <v>-1008255.03397668</v>
      </c>
      <c r="AG888" s="3">
        <f t="shared" si="220"/>
        <v>13168326.206917921</v>
      </c>
      <c r="AH888" s="3">
        <f t="shared" si="221"/>
        <v>7.0465760455766654E-3</v>
      </c>
      <c r="AI888" s="3">
        <f t="shared" si="222"/>
        <v>-5.3366856983547086E-4</v>
      </c>
    </row>
    <row r="889" spans="19:35" x14ac:dyDescent="0.3">
      <c r="S889" s="6">
        <v>872</v>
      </c>
      <c r="T889" s="4">
        <f t="shared" si="208"/>
        <v>436</v>
      </c>
      <c r="U889" s="3">
        <f t="shared" si="209"/>
        <v>-13162705.308459995</v>
      </c>
      <c r="V889" s="3">
        <f t="shared" si="210"/>
        <v>995561.39946771809</v>
      </c>
      <c r="W889" s="3">
        <f t="shared" si="211"/>
        <v>-28030.604159892362</v>
      </c>
      <c r="X889" s="3">
        <f t="shared" si="212"/>
        <v>2306.0166344512072</v>
      </c>
      <c r="Y889" s="3">
        <f t="shared" si="213"/>
        <v>13168688.471988114</v>
      </c>
      <c r="Z889" s="3">
        <f t="shared" si="214"/>
        <v>-986908.27494416141</v>
      </c>
      <c r="AA889" s="3">
        <f t="shared" si="215"/>
        <v>13205617.896010239</v>
      </c>
      <c r="AB889" s="3">
        <f t="shared" si="216"/>
        <v>13128688.471988114</v>
      </c>
      <c r="AC889" s="3">
        <f t="shared" si="217"/>
        <v>-984408.27494416141</v>
      </c>
      <c r="AD889" s="3">
        <f t="shared" si="218"/>
        <v>13165542.930175425</v>
      </c>
      <c r="AE889" s="3">
        <f t="shared" si="219"/>
        <v>13143688.471988114</v>
      </c>
      <c r="AF889" s="3">
        <f t="shared" si="223"/>
        <v>-1009408.2749441614</v>
      </c>
      <c r="AG889" s="3">
        <f t="shared" si="220"/>
        <v>13182391.729659643</v>
      </c>
      <c r="AH889" s="3">
        <f t="shared" si="221"/>
        <v>7.0315516179427781E-3</v>
      </c>
      <c r="AI889" s="3">
        <f t="shared" si="222"/>
        <v>-5.3257964747159602E-4</v>
      </c>
    </row>
    <row r="890" spans="19:35" x14ac:dyDescent="0.3">
      <c r="S890" s="6">
        <v>873</v>
      </c>
      <c r="T890" s="4">
        <f t="shared" si="208"/>
        <v>436.5</v>
      </c>
      <c r="U890" s="3">
        <f t="shared" si="209"/>
        <v>-13176720.608782053</v>
      </c>
      <c r="V890" s="3">
        <f t="shared" si="210"/>
        <v>996714.4076517988</v>
      </c>
      <c r="W890" s="3">
        <f t="shared" si="211"/>
        <v>-28027.534887611131</v>
      </c>
      <c r="X890" s="3">
        <f t="shared" si="212"/>
        <v>2305.7841634350857</v>
      </c>
      <c r="Y890" s="3">
        <f t="shared" si="213"/>
        <v>13182705.308459995</v>
      </c>
      <c r="Z890" s="3">
        <f t="shared" si="214"/>
        <v>-988061.39946771809</v>
      </c>
      <c r="AA890" s="3">
        <f t="shared" si="215"/>
        <v>13219681.712462574</v>
      </c>
      <c r="AB890" s="3">
        <f t="shared" si="216"/>
        <v>13142705.308459995</v>
      </c>
      <c r="AC890" s="3">
        <f t="shared" si="217"/>
        <v>-985561.39946771809</v>
      </c>
      <c r="AD890" s="3">
        <f t="shared" si="218"/>
        <v>13179606.750474133</v>
      </c>
      <c r="AE890" s="3">
        <f t="shared" si="219"/>
        <v>13157705.308459995</v>
      </c>
      <c r="AF890" s="3">
        <f t="shared" si="223"/>
        <v>-1010561.3994677181</v>
      </c>
      <c r="AG890" s="3">
        <f t="shared" si="220"/>
        <v>13196455.710772134</v>
      </c>
      <c r="AH890" s="3">
        <f t="shared" si="221"/>
        <v>7.0165768288085635E-3</v>
      </c>
      <c r="AI890" s="3">
        <f t="shared" si="222"/>
        <v>-5.3149417201945595E-4</v>
      </c>
    </row>
    <row r="891" spans="19:35" x14ac:dyDescent="0.3">
      <c r="S891" s="6">
        <v>874</v>
      </c>
      <c r="T891" s="4">
        <f t="shared" si="208"/>
        <v>437</v>
      </c>
      <c r="U891" s="3">
        <f t="shared" si="209"/>
        <v>-13190734.374471715</v>
      </c>
      <c r="V891" s="3">
        <f t="shared" si="210"/>
        <v>997867.29960064276</v>
      </c>
      <c r="W891" s="3">
        <f t="shared" si="211"/>
        <v>-28024.46864353694</v>
      </c>
      <c r="X891" s="3">
        <f t="shared" si="212"/>
        <v>2305.551900481913</v>
      </c>
      <c r="Y891" s="3">
        <f t="shared" si="213"/>
        <v>13196720.608782053</v>
      </c>
      <c r="Z891" s="3">
        <f t="shared" si="214"/>
        <v>-989214.4076517988</v>
      </c>
      <c r="AA891" s="3">
        <f t="shared" si="215"/>
        <v>13233743.989157371</v>
      </c>
      <c r="AB891" s="3">
        <f t="shared" si="216"/>
        <v>13156720.608782053</v>
      </c>
      <c r="AC891" s="3">
        <f t="shared" si="217"/>
        <v>-986714.4076517988</v>
      </c>
      <c r="AD891" s="3">
        <f t="shared" si="218"/>
        <v>13193669.031009458</v>
      </c>
      <c r="AE891" s="3">
        <f t="shared" si="219"/>
        <v>13171720.608782053</v>
      </c>
      <c r="AF891" s="3">
        <f t="shared" si="223"/>
        <v>-1011714.4076517988</v>
      </c>
      <c r="AG891" s="3">
        <f t="shared" si="220"/>
        <v>13210518.151778305</v>
      </c>
      <c r="AH891" s="3">
        <f t="shared" si="221"/>
        <v>7.001651456636301E-3</v>
      </c>
      <c r="AI891" s="3">
        <f t="shared" si="222"/>
        <v>-5.3041212873859256E-4</v>
      </c>
    </row>
    <row r="892" spans="19:35" x14ac:dyDescent="0.3">
      <c r="S892" s="6">
        <v>875</v>
      </c>
      <c r="T892" s="4">
        <f t="shared" si="208"/>
        <v>437.5</v>
      </c>
      <c r="U892" s="3">
        <f t="shared" si="209"/>
        <v>-13204746.607043071</v>
      </c>
      <c r="V892" s="3">
        <f t="shared" si="210"/>
        <v>999020.07541828067</v>
      </c>
      <c r="W892" s="3">
        <f t="shared" si="211"/>
        <v>-28021.405421024661</v>
      </c>
      <c r="X892" s="3">
        <f t="shared" si="212"/>
        <v>2305.3198451755898</v>
      </c>
      <c r="Y892" s="3">
        <f t="shared" si="213"/>
        <v>13210734.374471715</v>
      </c>
      <c r="Z892" s="3">
        <f t="shared" si="214"/>
        <v>-990367.29960064276</v>
      </c>
      <c r="AA892" s="3">
        <f t="shared" si="215"/>
        <v>13247804.727613056</v>
      </c>
      <c r="AB892" s="3">
        <f t="shared" si="216"/>
        <v>13170734.374471715</v>
      </c>
      <c r="AC892" s="3">
        <f t="shared" si="217"/>
        <v>-987867.29960064276</v>
      </c>
      <c r="AD892" s="3">
        <f t="shared" si="218"/>
        <v>13207729.773299843</v>
      </c>
      <c r="AE892" s="3">
        <f t="shared" si="219"/>
        <v>13185734.374471715</v>
      </c>
      <c r="AF892" s="3">
        <f t="shared" si="223"/>
        <v>-1012867.2996006428</v>
      </c>
      <c r="AG892" s="3">
        <f t="shared" si="220"/>
        <v>13224579.054197729</v>
      </c>
      <c r="AH892" s="3">
        <f t="shared" si="221"/>
        <v>6.9867752811324808E-3</v>
      </c>
      <c r="AI892" s="3">
        <f t="shared" si="222"/>
        <v>-5.2933350296783957E-4</v>
      </c>
    </row>
    <row r="893" spans="19:35" x14ac:dyDescent="0.3">
      <c r="S893" s="6">
        <v>876</v>
      </c>
      <c r="T893" s="4">
        <f t="shared" si="208"/>
        <v>438</v>
      </c>
      <c r="U893" s="3">
        <f t="shared" si="209"/>
        <v>-13218757.30800689</v>
      </c>
      <c r="V893" s="3">
        <f t="shared" si="210"/>
        <v>1000172.7352085351</v>
      </c>
      <c r="W893" s="3">
        <f t="shared" si="211"/>
        <v>-28018.345213451525</v>
      </c>
      <c r="X893" s="3">
        <f t="shared" si="212"/>
        <v>2305.0879971012901</v>
      </c>
      <c r="Y893" s="3">
        <f t="shared" si="213"/>
        <v>13224746.607043071</v>
      </c>
      <c r="Z893" s="3">
        <f t="shared" si="214"/>
        <v>-991520.07541828067</v>
      </c>
      <c r="AA893" s="3">
        <f t="shared" si="215"/>
        <v>13261863.929344725</v>
      </c>
      <c r="AB893" s="3">
        <f t="shared" si="216"/>
        <v>13184746.607043071</v>
      </c>
      <c r="AC893" s="3">
        <f t="shared" si="217"/>
        <v>-989020.07541828067</v>
      </c>
      <c r="AD893" s="3">
        <f t="shared" si="218"/>
        <v>13221788.978860391</v>
      </c>
      <c r="AE893" s="3">
        <f t="shared" si="219"/>
        <v>13199746.607043071</v>
      </c>
      <c r="AF893" s="3">
        <f t="shared" si="223"/>
        <v>-1014020.0754182807</v>
      </c>
      <c r="AG893" s="3">
        <f t="shared" si="220"/>
        <v>13238638.41954664</v>
      </c>
      <c r="AH893" s="3">
        <f t="shared" si="221"/>
        <v>6.9719480832394279E-3</v>
      </c>
      <c r="AI893" s="3">
        <f t="shared" si="222"/>
        <v>-5.2825828012481319E-4</v>
      </c>
    </row>
    <row r="894" spans="19:35" x14ac:dyDescent="0.3">
      <c r="S894" s="6">
        <v>877</v>
      </c>
      <c r="T894" s="4">
        <f t="shared" si="208"/>
        <v>438.5</v>
      </c>
      <c r="U894" s="3">
        <f t="shared" si="209"/>
        <v>-13232766.478870628</v>
      </c>
      <c r="V894" s="3">
        <f t="shared" si="210"/>
        <v>1001325.2790750212</v>
      </c>
      <c r="W894" s="3">
        <f t="shared" si="211"/>
        <v>-28015.288014217025</v>
      </c>
      <c r="X894" s="3">
        <f t="shared" si="212"/>
        <v>2304.8563558454553</v>
      </c>
      <c r="Y894" s="3">
        <f t="shared" si="213"/>
        <v>13238757.30800689</v>
      </c>
      <c r="Z894" s="3">
        <f t="shared" si="214"/>
        <v>-992672.7352085351</v>
      </c>
      <c r="AA894" s="3">
        <f t="shared" si="215"/>
        <v>13275921.595864154</v>
      </c>
      <c r="AB894" s="3">
        <f t="shared" si="216"/>
        <v>13198757.30800689</v>
      </c>
      <c r="AC894" s="3">
        <f t="shared" si="217"/>
        <v>-990172.7352085351</v>
      </c>
      <c r="AD894" s="3">
        <f t="shared" si="218"/>
        <v>13235846.6492029</v>
      </c>
      <c r="AE894" s="3">
        <f t="shared" si="219"/>
        <v>13213757.30800689</v>
      </c>
      <c r="AF894" s="3">
        <f t="shared" si="223"/>
        <v>-1015172.7352085351</v>
      </c>
      <c r="AG894" s="3">
        <f t="shared" si="220"/>
        <v>13252696.249337954</v>
      </c>
      <c r="AH894" s="3">
        <f t="shared" si="221"/>
        <v>6.9571696451267056E-3</v>
      </c>
      <c r="AI894" s="3">
        <f t="shared" si="222"/>
        <v>-5.2718644570538299E-4</v>
      </c>
    </row>
    <row r="895" spans="19:35" x14ac:dyDescent="0.3">
      <c r="S895" s="6">
        <v>878</v>
      </c>
      <c r="T895" s="4">
        <f t="shared" si="208"/>
        <v>439</v>
      </c>
      <c r="U895" s="3">
        <f t="shared" si="209"/>
        <v>-13246774.121138444</v>
      </c>
      <c r="V895" s="3">
        <f t="shared" si="210"/>
        <v>1002477.7071211473</v>
      </c>
      <c r="W895" s="3">
        <f t="shared" si="211"/>
        <v>-28012.233816742813</v>
      </c>
      <c r="X895" s="3">
        <f t="shared" si="212"/>
        <v>2304.6249209957905</v>
      </c>
      <c r="Y895" s="3">
        <f t="shared" si="213"/>
        <v>13252766.478870628</v>
      </c>
      <c r="Z895" s="3">
        <f t="shared" si="214"/>
        <v>-993825.27907502116</v>
      </c>
      <c r="AA895" s="3">
        <f t="shared" si="215"/>
        <v>13289977.728679817</v>
      </c>
      <c r="AB895" s="3">
        <f t="shared" si="216"/>
        <v>13212766.478870628</v>
      </c>
      <c r="AC895" s="3">
        <f t="shared" si="217"/>
        <v>-991325.27907502116</v>
      </c>
      <c r="AD895" s="3">
        <f t="shared" si="218"/>
        <v>13249902.785835845</v>
      </c>
      <c r="AE895" s="3">
        <f t="shared" si="219"/>
        <v>13227766.478870628</v>
      </c>
      <c r="AF895" s="3">
        <f t="shared" si="223"/>
        <v>-1016325.2790750212</v>
      </c>
      <c r="AG895" s="3">
        <f t="shared" si="220"/>
        <v>13266752.545081271</v>
      </c>
      <c r="AH895" s="3">
        <f t="shared" si="221"/>
        <v>6.9424397501831586E-3</v>
      </c>
      <c r="AI895" s="3">
        <f t="shared" si="222"/>
        <v>-5.2611798528319216E-4</v>
      </c>
    </row>
    <row r="896" spans="19:35" x14ac:dyDescent="0.3">
      <c r="S896" s="6">
        <v>879</v>
      </c>
      <c r="T896" s="4">
        <f t="shared" si="208"/>
        <v>439.5</v>
      </c>
      <c r="U896" s="3">
        <f t="shared" si="209"/>
        <v>-13260780.236311207</v>
      </c>
      <c r="V896" s="3">
        <f t="shared" si="210"/>
        <v>1003630.0194501157</v>
      </c>
      <c r="W896" s="3">
        <f t="shared" si="211"/>
        <v>-28009.182614472607</v>
      </c>
      <c r="X896" s="3">
        <f t="shared" si="212"/>
        <v>2304.3936921412587</v>
      </c>
      <c r="Y896" s="3">
        <f t="shared" si="213"/>
        <v>13266774.121138444</v>
      </c>
      <c r="Z896" s="3">
        <f t="shared" si="214"/>
        <v>-994977.70712114731</v>
      </c>
      <c r="AA896" s="3">
        <f t="shared" si="215"/>
        <v>13304032.329296889</v>
      </c>
      <c r="AB896" s="3">
        <f t="shared" si="216"/>
        <v>13226774.121138444</v>
      </c>
      <c r="AC896" s="3">
        <f t="shared" si="217"/>
        <v>-992477.70712114731</v>
      </c>
      <c r="AD896" s="3">
        <f t="shared" si="218"/>
        <v>13263957.390264418</v>
      </c>
      <c r="AE896" s="3">
        <f t="shared" si="219"/>
        <v>13241774.121138444</v>
      </c>
      <c r="AF896" s="3">
        <f t="shared" si="223"/>
        <v>-1017477.7071211473</v>
      </c>
      <c r="AG896" s="3">
        <f t="shared" si="220"/>
        <v>13280807.308282893</v>
      </c>
      <c r="AH896" s="3">
        <f t="shared" si="221"/>
        <v>6.9277581830085987E-3</v>
      </c>
      <c r="AI896" s="3">
        <f t="shared" si="222"/>
        <v>-5.2505288450914748E-4</v>
      </c>
    </row>
    <row r="897" spans="19:35" x14ac:dyDescent="0.3">
      <c r="S897" s="6">
        <v>880</v>
      </c>
      <c r="T897" s="4">
        <f t="shared" si="208"/>
        <v>440</v>
      </c>
      <c r="U897" s="3">
        <f t="shared" si="209"/>
        <v>-13274784.825886503</v>
      </c>
      <c r="V897" s="3">
        <f t="shared" si="210"/>
        <v>1004782.2161649232</v>
      </c>
      <c r="W897" s="3">
        <f t="shared" si="211"/>
        <v>-28006.134400872084</v>
      </c>
      <c r="X897" s="3">
        <f t="shared" si="212"/>
        <v>2304.1626688720748</v>
      </c>
      <c r="Y897" s="3">
        <f t="shared" si="213"/>
        <v>13280780.236311207</v>
      </c>
      <c r="Z897" s="3">
        <f t="shared" si="214"/>
        <v>-996130.01945011574</v>
      </c>
      <c r="AA897" s="3">
        <f t="shared" si="215"/>
        <v>13318085.399217263</v>
      </c>
      <c r="AB897" s="3">
        <f t="shared" si="216"/>
        <v>13240780.236311207</v>
      </c>
      <c r="AC897" s="3">
        <f t="shared" si="217"/>
        <v>-993630.01945011574</v>
      </c>
      <c r="AD897" s="3">
        <f t="shared" si="218"/>
        <v>13278010.463990524</v>
      </c>
      <c r="AE897" s="3">
        <f t="shared" si="219"/>
        <v>13255780.236311207</v>
      </c>
      <c r="AF897" s="3">
        <f t="shared" si="223"/>
        <v>-1018630.0194501157</v>
      </c>
      <c r="AG897" s="3">
        <f t="shared" si="220"/>
        <v>13294860.540445834</v>
      </c>
      <c r="AH897" s="3">
        <f t="shared" si="221"/>
        <v>6.9131247294055512E-3</v>
      </c>
      <c r="AI897" s="3">
        <f t="shared" si="222"/>
        <v>-5.2399112911091393E-4</v>
      </c>
    </row>
    <row r="898" spans="19:35" x14ac:dyDescent="0.3">
      <c r="S898" s="6">
        <v>881</v>
      </c>
      <c r="T898" s="4">
        <f t="shared" si="208"/>
        <v>440.5</v>
      </c>
      <c r="U898" s="3">
        <f t="shared" si="209"/>
        <v>-13288787.891358657</v>
      </c>
      <c r="V898" s="3">
        <f t="shared" si="210"/>
        <v>1005934.2973683615</v>
      </c>
      <c r="W898" s="3">
        <f t="shared" si="211"/>
        <v>-28003.089169428782</v>
      </c>
      <c r="X898" s="3">
        <f t="shared" si="212"/>
        <v>2303.9318507797016</v>
      </c>
      <c r="Y898" s="3">
        <f t="shared" si="213"/>
        <v>13294784.825886503</v>
      </c>
      <c r="Z898" s="3">
        <f t="shared" si="214"/>
        <v>-997282.21616492316</v>
      </c>
      <c r="AA898" s="3">
        <f t="shared" si="215"/>
        <v>13332136.939939555</v>
      </c>
      <c r="AB898" s="3">
        <f t="shared" si="216"/>
        <v>13254784.825886503</v>
      </c>
      <c r="AC898" s="3">
        <f t="shared" si="217"/>
        <v>-994782.21616492316</v>
      </c>
      <c r="AD898" s="3">
        <f t="shared" si="218"/>
        <v>13292062.008512791</v>
      </c>
      <c r="AE898" s="3">
        <f t="shared" si="219"/>
        <v>13269784.825886503</v>
      </c>
      <c r="AF898" s="3">
        <f t="shared" si="223"/>
        <v>-1019782.2161649232</v>
      </c>
      <c r="AG898" s="3">
        <f t="shared" si="220"/>
        <v>13308912.243069828</v>
      </c>
      <c r="AH898" s="3">
        <f t="shared" si="221"/>
        <v>6.8985391763711854E-3</v>
      </c>
      <c r="AI898" s="3">
        <f t="shared" si="222"/>
        <v>-5.2293270489242268E-4</v>
      </c>
    </row>
    <row r="899" spans="19:35" x14ac:dyDescent="0.3">
      <c r="S899" s="6">
        <v>882</v>
      </c>
      <c r="T899" s="4">
        <f t="shared" si="208"/>
        <v>441</v>
      </c>
      <c r="U899" s="3">
        <f t="shared" si="209"/>
        <v>-13302789.434218736</v>
      </c>
      <c r="V899" s="3">
        <f t="shared" si="210"/>
        <v>1007086.2631630183</v>
      </c>
      <c r="W899" s="3">
        <f t="shared" si="211"/>
        <v>-28000.046913652004</v>
      </c>
      <c r="X899" s="3">
        <f t="shared" si="212"/>
        <v>2303.701237456844</v>
      </c>
      <c r="Y899" s="3">
        <f t="shared" si="213"/>
        <v>13308787.891358657</v>
      </c>
      <c r="Z899" s="3">
        <f t="shared" si="214"/>
        <v>-998434.2973683615</v>
      </c>
      <c r="AA899" s="3">
        <f t="shared" si="215"/>
        <v>13346186.952959122</v>
      </c>
      <c r="AB899" s="3">
        <f t="shared" si="216"/>
        <v>13268787.891358657</v>
      </c>
      <c r="AC899" s="3">
        <f t="shared" si="217"/>
        <v>-995934.2973683615</v>
      </c>
      <c r="AD899" s="3">
        <f t="shared" si="218"/>
        <v>13306112.025326585</v>
      </c>
      <c r="AE899" s="3">
        <f t="shared" si="219"/>
        <v>13283787.891358657</v>
      </c>
      <c r="AF899" s="3">
        <f t="shared" si="223"/>
        <v>-1020934.2973683615</v>
      </c>
      <c r="AG899" s="3">
        <f t="shared" si="220"/>
        <v>13322962.417651335</v>
      </c>
      <c r="AH899" s="3">
        <f t="shared" si="221"/>
        <v>6.8840013120893542E-3</v>
      </c>
      <c r="AI899" s="3">
        <f t="shared" si="222"/>
        <v>-5.2187759773338505E-4</v>
      </c>
    </row>
    <row r="900" spans="19:35" x14ac:dyDescent="0.3">
      <c r="S900" s="6">
        <v>883</v>
      </c>
      <c r="T900" s="4">
        <f t="shared" si="208"/>
        <v>441.5</v>
      </c>
      <c r="U900" s="3">
        <f t="shared" si="209"/>
        <v>-13316789.455954563</v>
      </c>
      <c r="V900" s="3">
        <f t="shared" si="210"/>
        <v>1008238.1136512773</v>
      </c>
      <c r="W900" s="3">
        <f t="shared" si="211"/>
        <v>-27997.007627072715</v>
      </c>
      <c r="X900" s="3">
        <f t="shared" si="212"/>
        <v>2303.4708284974445</v>
      </c>
      <c r="Y900" s="3">
        <f t="shared" si="213"/>
        <v>13322789.434218736</v>
      </c>
      <c r="Z900" s="3">
        <f t="shared" si="214"/>
        <v>-999586.26316301827</v>
      </c>
      <c r="AA900" s="3">
        <f t="shared" si="215"/>
        <v>13360235.439768067</v>
      </c>
      <c r="AB900" s="3">
        <f t="shared" si="216"/>
        <v>13282789.434218736</v>
      </c>
      <c r="AC900" s="3">
        <f t="shared" si="217"/>
        <v>-997086.26316301827</v>
      </c>
      <c r="AD900" s="3">
        <f t="shared" si="218"/>
        <v>13320160.515924022</v>
      </c>
      <c r="AE900" s="3">
        <f t="shared" si="219"/>
        <v>13297789.434218736</v>
      </c>
      <c r="AF900" s="3">
        <f t="shared" si="223"/>
        <v>-1022086.2631630183</v>
      </c>
      <c r="AG900" s="3">
        <f t="shared" si="220"/>
        <v>13337011.06568357</v>
      </c>
      <c r="AH900" s="3">
        <f t="shared" si="221"/>
        <v>6.8695109259227175E-3</v>
      </c>
      <c r="AI900" s="3">
        <f t="shared" si="222"/>
        <v>-5.2082579358881114E-4</v>
      </c>
    </row>
    <row r="901" spans="19:35" x14ac:dyDescent="0.3">
      <c r="S901" s="6">
        <v>884</v>
      </c>
      <c r="T901" s="4">
        <f t="shared" si="208"/>
        <v>442</v>
      </c>
      <c r="U901" s="3">
        <f t="shared" si="209"/>
        <v>-13330787.958050722</v>
      </c>
      <c r="V901" s="3">
        <f t="shared" si="210"/>
        <v>1009389.8489353196</v>
      </c>
      <c r="W901" s="3">
        <f t="shared" si="211"/>
        <v>-27993.971303243456</v>
      </c>
      <c r="X901" s="3">
        <f t="shared" si="212"/>
        <v>2303.2406234966784</v>
      </c>
      <c r="Y901" s="3">
        <f t="shared" si="213"/>
        <v>13336789.455954563</v>
      </c>
      <c r="Z901" s="3">
        <f t="shared" si="214"/>
        <v>-1000738.1136512773</v>
      </c>
      <c r="AA901" s="3">
        <f t="shared" si="215"/>
        <v>13374282.401855253</v>
      </c>
      <c r="AB901" s="3">
        <f t="shared" si="216"/>
        <v>13296789.455954563</v>
      </c>
      <c r="AC901" s="3">
        <f t="shared" si="217"/>
        <v>-998238.11365127726</v>
      </c>
      <c r="AD901" s="3">
        <f t="shared" si="218"/>
        <v>13334207.481793977</v>
      </c>
      <c r="AE901" s="3">
        <f t="shared" si="219"/>
        <v>13311789.455954563</v>
      </c>
      <c r="AF901" s="3">
        <f t="shared" si="223"/>
        <v>-1023238.1136512773</v>
      </c>
      <c r="AG901" s="3">
        <f t="shared" si="220"/>
        <v>13351058.188656496</v>
      </c>
      <c r="AH901" s="3">
        <f t="shared" si="221"/>
        <v>6.8550678084045059E-3</v>
      </c>
      <c r="AI901" s="3">
        <f t="shared" si="222"/>
        <v>-5.19777278488503E-4</v>
      </c>
    </row>
    <row r="902" spans="19:35" x14ac:dyDescent="0.3">
      <c r="S902" s="6">
        <v>885</v>
      </c>
      <c r="T902" s="4">
        <f t="shared" si="208"/>
        <v>442.5</v>
      </c>
      <c r="U902" s="3">
        <f t="shared" si="209"/>
        <v>-13344784.941988576</v>
      </c>
      <c r="V902" s="3">
        <f t="shared" si="210"/>
        <v>1010541.4691171236</v>
      </c>
      <c r="W902" s="3">
        <f t="shared" si="211"/>
        <v>-27990.937935738235</v>
      </c>
      <c r="X902" s="3">
        <f t="shared" si="212"/>
        <v>2303.0106220509474</v>
      </c>
      <c r="Y902" s="3">
        <f t="shared" si="213"/>
        <v>13350787.958050722</v>
      </c>
      <c r="Z902" s="3">
        <f t="shared" si="214"/>
        <v>-1001889.8489353196</v>
      </c>
      <c r="AA902" s="3">
        <f t="shared" si="215"/>
        <v>13388327.840706315</v>
      </c>
      <c r="AB902" s="3">
        <f t="shared" si="216"/>
        <v>13310787.958050722</v>
      </c>
      <c r="AC902" s="3">
        <f t="shared" si="217"/>
        <v>-999389.84893531958</v>
      </c>
      <c r="AD902" s="3">
        <f t="shared" si="218"/>
        <v>13348252.924422098</v>
      </c>
      <c r="AE902" s="3">
        <f t="shared" si="219"/>
        <v>13325787.958050722</v>
      </c>
      <c r="AF902" s="3">
        <f t="shared" si="223"/>
        <v>-1024389.8489353196</v>
      </c>
      <c r="AG902" s="3">
        <f t="shared" si="220"/>
        <v>13365103.788056841</v>
      </c>
      <c r="AH902" s="3">
        <f t="shared" si="221"/>
        <v>6.8406717512310509E-3</v>
      </c>
      <c r="AI902" s="3">
        <f t="shared" si="222"/>
        <v>-5.1873203853660169E-4</v>
      </c>
    </row>
    <row r="903" spans="19:35" x14ac:dyDescent="0.3">
      <c r="S903" s="6">
        <v>886</v>
      </c>
      <c r="T903" s="4">
        <f t="shared" si="208"/>
        <v>443</v>
      </c>
      <c r="U903" s="3">
        <f t="shared" si="209"/>
        <v>-13358780.409246279</v>
      </c>
      <c r="V903" s="3">
        <f t="shared" si="210"/>
        <v>1011692.974298466</v>
      </c>
      <c r="W903" s="3">
        <f t="shared" si="211"/>
        <v>-27987.907518152439</v>
      </c>
      <c r="X903" s="3">
        <f t="shared" si="212"/>
        <v>2302.7808237578756</v>
      </c>
      <c r="Y903" s="3">
        <f t="shared" si="213"/>
        <v>13364784.941988576</v>
      </c>
      <c r="Z903" s="3">
        <f t="shared" si="214"/>
        <v>-1003041.4691171236</v>
      </c>
      <c r="AA903" s="3">
        <f t="shared" si="215"/>
        <v>13402371.757803662</v>
      </c>
      <c r="AB903" s="3">
        <f t="shared" si="216"/>
        <v>13324784.941988576</v>
      </c>
      <c r="AC903" s="3">
        <f t="shared" si="217"/>
        <v>-1000541.4691171236</v>
      </c>
      <c r="AD903" s="3">
        <f t="shared" si="218"/>
        <v>13362296.845290804</v>
      </c>
      <c r="AE903" s="3">
        <f t="shared" si="219"/>
        <v>13339784.941988576</v>
      </c>
      <c r="AF903" s="3">
        <f t="shared" si="223"/>
        <v>-1025541.4691171236</v>
      </c>
      <c r="AG903" s="3">
        <f t="shared" si="220"/>
        <v>13379147.865368111</v>
      </c>
      <c r="AH903" s="3">
        <f t="shared" si="221"/>
        <v>6.8263225472538526E-3</v>
      </c>
      <c r="AI903" s="3">
        <f t="shared" si="222"/>
        <v>-5.176900599111004E-4</v>
      </c>
    </row>
    <row r="904" spans="19:35" x14ac:dyDescent="0.3">
      <c r="S904" s="6">
        <v>887</v>
      </c>
      <c r="T904" s="4">
        <f t="shared" si="208"/>
        <v>443.5</v>
      </c>
      <c r="U904" s="3">
        <f t="shared" si="209"/>
        <v>-13372774.361298773</v>
      </c>
      <c r="V904" s="3">
        <f t="shared" si="210"/>
        <v>1012844.3645809224</v>
      </c>
      <c r="W904" s="3">
        <f t="shared" si="211"/>
        <v>-27984.880044102731</v>
      </c>
      <c r="X904" s="3">
        <f t="shared" si="212"/>
        <v>2302.5512282163049</v>
      </c>
      <c r="Y904" s="3">
        <f t="shared" si="213"/>
        <v>13378780.409246279</v>
      </c>
      <c r="Z904" s="3">
        <f t="shared" si="214"/>
        <v>-1004192.974298466</v>
      </c>
      <c r="AA904" s="3">
        <f t="shared" si="215"/>
        <v>13416414.154626505</v>
      </c>
      <c r="AB904" s="3">
        <f t="shared" si="216"/>
        <v>13338780.409246279</v>
      </c>
      <c r="AC904" s="3">
        <f t="shared" si="217"/>
        <v>-1001692.974298466</v>
      </c>
      <c r="AD904" s="3">
        <f t="shared" si="218"/>
        <v>13376339.245879317</v>
      </c>
      <c r="AE904" s="3">
        <f t="shared" si="219"/>
        <v>13353780.409246279</v>
      </c>
      <c r="AF904" s="3">
        <f t="shared" si="223"/>
        <v>-1026692.974298466</v>
      </c>
      <c r="AG904" s="3">
        <f t="shared" si="220"/>
        <v>13393190.422070596</v>
      </c>
      <c r="AH904" s="3">
        <f t="shared" si="221"/>
        <v>6.8120199904717809E-3</v>
      </c>
      <c r="AI904" s="3">
        <f t="shared" si="222"/>
        <v>-5.1665132886336462E-4</v>
      </c>
    </row>
    <row r="905" spans="19:35" x14ac:dyDescent="0.3">
      <c r="S905" s="6">
        <v>888</v>
      </c>
      <c r="T905" s="4">
        <f t="shared" si="208"/>
        <v>444</v>
      </c>
      <c r="U905" s="3">
        <f t="shared" si="209"/>
        <v>-13386766.799617819</v>
      </c>
      <c r="V905" s="3">
        <f t="shared" si="210"/>
        <v>1013995.6400658678</v>
      </c>
      <c r="W905" s="3">
        <f t="shared" si="211"/>
        <v>-27981.855507226963</v>
      </c>
      <c r="X905" s="3">
        <f t="shared" si="212"/>
        <v>2302.3218350262896</v>
      </c>
      <c r="Y905" s="3">
        <f t="shared" si="213"/>
        <v>13392774.361298773</v>
      </c>
      <c r="Z905" s="3">
        <f t="shared" si="214"/>
        <v>-1005344.3645809224</v>
      </c>
      <c r="AA905" s="3">
        <f t="shared" si="215"/>
        <v>13430455.032650845</v>
      </c>
      <c r="AB905" s="3">
        <f t="shared" si="216"/>
        <v>13352774.361298773</v>
      </c>
      <c r="AC905" s="3">
        <f t="shared" si="217"/>
        <v>-1002844.3645809224</v>
      </c>
      <c r="AD905" s="3">
        <f t="shared" si="218"/>
        <v>13390380.12766365</v>
      </c>
      <c r="AE905" s="3">
        <f t="shared" si="219"/>
        <v>13367774.361298773</v>
      </c>
      <c r="AF905" s="3">
        <f t="shared" si="223"/>
        <v>-1027844.3645809224</v>
      </c>
      <c r="AG905" s="3">
        <f t="shared" si="220"/>
        <v>13407231.459641382</v>
      </c>
      <c r="AH905" s="3">
        <f t="shared" si="221"/>
        <v>6.7977638760236166E-3</v>
      </c>
      <c r="AI905" s="3">
        <f t="shared" si="222"/>
        <v>-5.1561583171767973E-4</v>
      </c>
    </row>
    <row r="906" spans="19:35" x14ac:dyDescent="0.3">
      <c r="S906" s="6">
        <v>889</v>
      </c>
      <c r="T906" s="4">
        <f t="shared" si="208"/>
        <v>444.5</v>
      </c>
      <c r="U906" s="3">
        <f t="shared" si="209"/>
        <v>-13400757.725671994</v>
      </c>
      <c r="V906" s="3">
        <f t="shared" si="210"/>
        <v>1015146.800854477</v>
      </c>
      <c r="W906" s="3">
        <f t="shared" si="211"/>
        <v>-27978.833901184069</v>
      </c>
      <c r="X906" s="3">
        <f t="shared" si="212"/>
        <v>2302.0926437890912</v>
      </c>
      <c r="Y906" s="3">
        <f t="shared" si="213"/>
        <v>13406766.799617819</v>
      </c>
      <c r="Z906" s="3">
        <f t="shared" si="214"/>
        <v>-1006495.6400658678</v>
      </c>
      <c r="AA906" s="3">
        <f t="shared" si="215"/>
        <v>13444494.393349502</v>
      </c>
      <c r="AB906" s="3">
        <f t="shared" si="216"/>
        <v>13366766.799617819</v>
      </c>
      <c r="AC906" s="3">
        <f t="shared" si="217"/>
        <v>-1003995.6400658678</v>
      </c>
      <c r="AD906" s="3">
        <f t="shared" si="218"/>
        <v>13404419.492116639</v>
      </c>
      <c r="AE906" s="3">
        <f t="shared" si="219"/>
        <v>13381766.799617819</v>
      </c>
      <c r="AF906" s="3">
        <f t="shared" si="223"/>
        <v>-1028995.6400658678</v>
      </c>
      <c r="AG906" s="3">
        <f t="shared" si="220"/>
        <v>13421270.97955437</v>
      </c>
      <c r="AH906" s="3">
        <f t="shared" si="221"/>
        <v>6.7835540001803026E-3</v>
      </c>
      <c r="AI906" s="3">
        <f t="shared" si="222"/>
        <v>-5.1458355487077237E-4</v>
      </c>
    </row>
    <row r="907" spans="19:35" x14ac:dyDescent="0.3">
      <c r="S907" s="6">
        <v>890</v>
      </c>
      <c r="T907" s="4">
        <f t="shared" si="208"/>
        <v>445</v>
      </c>
      <c r="U907" s="3">
        <f t="shared" si="209"/>
        <v>-13414747.140926698</v>
      </c>
      <c r="V907" s="3">
        <f t="shared" si="210"/>
        <v>1016297.8470477256</v>
      </c>
      <c r="W907" s="3">
        <f t="shared" si="211"/>
        <v>-27975.815219653989</v>
      </c>
      <c r="X907" s="3">
        <f t="shared" si="212"/>
        <v>2301.8636541071737</v>
      </c>
      <c r="Y907" s="3">
        <f t="shared" si="213"/>
        <v>13420757.725671994</v>
      </c>
      <c r="Z907" s="3">
        <f t="shared" si="214"/>
        <v>-1007646.800854477</v>
      </c>
      <c r="AA907" s="3">
        <f t="shared" si="215"/>
        <v>13458532.238192126</v>
      </c>
      <c r="AB907" s="3">
        <f t="shared" si="216"/>
        <v>13380757.725671994</v>
      </c>
      <c r="AC907" s="3">
        <f t="shared" si="217"/>
        <v>-1005146.800854477</v>
      </c>
      <c r="AD907" s="3">
        <f t="shared" si="218"/>
        <v>13418457.340707937</v>
      </c>
      <c r="AE907" s="3">
        <f t="shared" si="219"/>
        <v>13395757.725671994</v>
      </c>
      <c r="AF907" s="3">
        <f t="shared" si="223"/>
        <v>-1030146.800854477</v>
      </c>
      <c r="AG907" s="3">
        <f t="shared" si="220"/>
        <v>13435308.983280273</v>
      </c>
      <c r="AH907" s="3">
        <f t="shared" si="221"/>
        <v>6.769390160337411E-3</v>
      </c>
      <c r="AI907" s="3">
        <f t="shared" si="222"/>
        <v>-5.1355448479134991E-4</v>
      </c>
    </row>
    <row r="908" spans="19:35" x14ac:dyDescent="0.3">
      <c r="S908" s="6">
        <v>891</v>
      </c>
      <c r="T908" s="4">
        <f t="shared" si="208"/>
        <v>445.5</v>
      </c>
      <c r="U908" s="3">
        <f t="shared" si="209"/>
        <v>-13428735.046844179</v>
      </c>
      <c r="V908" s="3">
        <f t="shared" si="210"/>
        <v>1017448.7787463905</v>
      </c>
      <c r="W908" s="3">
        <f t="shared" si="211"/>
        <v>-27972.799456337558</v>
      </c>
      <c r="X908" s="3">
        <f t="shared" si="212"/>
        <v>2301.6348655841994</v>
      </c>
      <c r="Y908" s="3">
        <f t="shared" si="213"/>
        <v>13434747.140926698</v>
      </c>
      <c r="Z908" s="3">
        <f t="shared" si="214"/>
        <v>-1008797.8470477256</v>
      </c>
      <c r="AA908" s="3">
        <f t="shared" si="215"/>
        <v>13472568.568645187</v>
      </c>
      <c r="AB908" s="3">
        <f t="shared" si="216"/>
        <v>13394747.140926698</v>
      </c>
      <c r="AC908" s="3">
        <f t="shared" si="217"/>
        <v>-1006297.8470477256</v>
      </c>
      <c r="AD908" s="3">
        <f t="shared" si="218"/>
        <v>13432493.674904034</v>
      </c>
      <c r="AE908" s="3">
        <f t="shared" si="219"/>
        <v>13409747.140926698</v>
      </c>
      <c r="AF908" s="3">
        <f t="shared" si="223"/>
        <v>-1031297.8470477256</v>
      </c>
      <c r="AG908" s="3">
        <f t="shared" si="220"/>
        <v>13449345.472286636</v>
      </c>
      <c r="AH908" s="3">
        <f t="shared" si="221"/>
        <v>6.7552721550076921E-3</v>
      </c>
      <c r="AI908" s="3">
        <f t="shared" si="222"/>
        <v>-5.125286080196438E-4</v>
      </c>
    </row>
    <row r="909" spans="19:35" x14ac:dyDescent="0.3">
      <c r="S909" s="6">
        <v>892</v>
      </c>
      <c r="T909" s="4">
        <f t="shared" si="208"/>
        <v>446</v>
      </c>
      <c r="U909" s="3">
        <f t="shared" si="209"/>
        <v>-13442721.444883531</v>
      </c>
      <c r="V909" s="3">
        <f t="shared" si="210"/>
        <v>1018599.5960510504</v>
      </c>
      <c r="W909" s="3">
        <f t="shared" si="211"/>
        <v>-27969.786604956425</v>
      </c>
      <c r="X909" s="3">
        <f t="shared" si="212"/>
        <v>2301.4062778250227</v>
      </c>
      <c r="Y909" s="3">
        <f t="shared" si="213"/>
        <v>13448735.046844179</v>
      </c>
      <c r="Z909" s="3">
        <f t="shared" si="214"/>
        <v>-1009948.7787463905</v>
      </c>
      <c r="AA909" s="3">
        <f t="shared" si="215"/>
        <v>13486603.386172006</v>
      </c>
      <c r="AB909" s="3">
        <f t="shared" si="216"/>
        <v>13408735.046844179</v>
      </c>
      <c r="AC909" s="3">
        <f t="shared" si="217"/>
        <v>-1007448.7787463905</v>
      </c>
      <c r="AD909" s="3">
        <f t="shared" si="218"/>
        <v>13446528.496168258</v>
      </c>
      <c r="AE909" s="3">
        <f t="shared" si="219"/>
        <v>13423735.046844179</v>
      </c>
      <c r="AF909" s="3">
        <f t="shared" si="223"/>
        <v>-1032448.7787463905</v>
      </c>
      <c r="AG909" s="3">
        <f t="shared" si="220"/>
        <v>13463380.44803784</v>
      </c>
      <c r="AH909" s="3">
        <f t="shared" si="221"/>
        <v>6.7411997838137828E-3</v>
      </c>
      <c r="AI909" s="3">
        <f t="shared" si="222"/>
        <v>-5.1150591116696424E-4</v>
      </c>
    </row>
    <row r="910" spans="19:35" x14ac:dyDescent="0.3">
      <c r="S910" s="6">
        <v>893</v>
      </c>
      <c r="T910" s="4">
        <f t="shared" si="208"/>
        <v>446.5</v>
      </c>
      <c r="U910" s="3">
        <f t="shared" si="209"/>
        <v>-13456706.336500708</v>
      </c>
      <c r="V910" s="3">
        <f t="shared" si="210"/>
        <v>1019750.2990620864</v>
      </c>
      <c r="W910" s="3">
        <f t="shared" si="211"/>
        <v>-27966.776659252952</v>
      </c>
      <c r="X910" s="3">
        <f t="shared" si="212"/>
        <v>2301.1778904356865</v>
      </c>
      <c r="Y910" s="3">
        <f t="shared" si="213"/>
        <v>13462721.444883531</v>
      </c>
      <c r="Z910" s="3">
        <f t="shared" si="214"/>
        <v>-1011099.5960510504</v>
      </c>
      <c r="AA910" s="3">
        <f t="shared" si="215"/>
        <v>13500636.69223276</v>
      </c>
      <c r="AB910" s="3">
        <f t="shared" si="216"/>
        <v>13422721.444883531</v>
      </c>
      <c r="AC910" s="3">
        <f t="shared" si="217"/>
        <v>-1008599.5960510504</v>
      </c>
      <c r="AD910" s="3">
        <f t="shared" si="218"/>
        <v>13460561.805960797</v>
      </c>
      <c r="AE910" s="3">
        <f t="shared" si="219"/>
        <v>13437721.444883531</v>
      </c>
      <c r="AF910" s="3">
        <f t="shared" si="223"/>
        <v>-1033599.5960510504</v>
      </c>
      <c r="AG910" s="3">
        <f t="shared" si="220"/>
        <v>13477413.91199512</v>
      </c>
      <c r="AH910" s="3">
        <f t="shared" si="221"/>
        <v>6.7271728474805909E-3</v>
      </c>
      <c r="AI910" s="3">
        <f t="shared" si="222"/>
        <v>-5.1048638091522915E-4</v>
      </c>
    </row>
    <row r="911" spans="19:35" x14ac:dyDescent="0.3">
      <c r="S911" s="6">
        <v>894</v>
      </c>
      <c r="T911" s="4">
        <f t="shared" si="208"/>
        <v>447</v>
      </c>
      <c r="U911" s="3">
        <f t="shared" si="209"/>
        <v>-13470689.723148542</v>
      </c>
      <c r="V911" s="3">
        <f t="shared" si="210"/>
        <v>1020900.8878796827</v>
      </c>
      <c r="W911" s="3">
        <f t="shared" si="211"/>
        <v>-27963.769612990127</v>
      </c>
      <c r="X911" s="3">
        <f t="shared" si="212"/>
        <v>2300.9497030234174</v>
      </c>
      <c r="Y911" s="3">
        <f t="shared" si="213"/>
        <v>13476706.336500708</v>
      </c>
      <c r="Z911" s="3">
        <f t="shared" si="214"/>
        <v>-1012250.2990620864</v>
      </c>
      <c r="AA911" s="3">
        <f t="shared" si="215"/>
        <v>13514668.488284484</v>
      </c>
      <c r="AB911" s="3">
        <f t="shared" si="216"/>
        <v>13436706.336500708</v>
      </c>
      <c r="AC911" s="3">
        <f t="shared" si="217"/>
        <v>-1009750.2990620864</v>
      </c>
      <c r="AD911" s="3">
        <f t="shared" si="218"/>
        <v>13474593.605738699</v>
      </c>
      <c r="AE911" s="3">
        <f t="shared" si="219"/>
        <v>13451706.336500708</v>
      </c>
      <c r="AF911" s="3">
        <f t="shared" si="223"/>
        <v>-1034750.2990620864</v>
      </c>
      <c r="AG911" s="3">
        <f t="shared" si="220"/>
        <v>13491445.865616567</v>
      </c>
      <c r="AH911" s="3">
        <f t="shared" si="221"/>
        <v>6.7131911478281684E-3</v>
      </c>
      <c r="AI911" s="3">
        <f t="shared" si="222"/>
        <v>-5.0947000401652966E-4</v>
      </c>
    </row>
    <row r="912" spans="19:35" x14ac:dyDescent="0.3">
      <c r="S912" s="6">
        <v>895</v>
      </c>
      <c r="T912" s="4">
        <f t="shared" si="208"/>
        <v>447.5</v>
      </c>
      <c r="U912" s="3">
        <f t="shared" si="209"/>
        <v>-13484671.606276739</v>
      </c>
      <c r="V912" s="3">
        <f t="shared" si="210"/>
        <v>1022051.3626038268</v>
      </c>
      <c r="W912" s="3">
        <f t="shared" si="211"/>
        <v>-27960.765459951475</v>
      </c>
      <c r="X912" s="3">
        <f t="shared" si="212"/>
        <v>2300.7217151966202</v>
      </c>
      <c r="Y912" s="3">
        <f t="shared" si="213"/>
        <v>13490689.723148542</v>
      </c>
      <c r="Z912" s="3">
        <f t="shared" si="214"/>
        <v>-1013400.8878796827</v>
      </c>
      <c r="AA912" s="3">
        <f t="shared" si="215"/>
        <v>13528698.775781101</v>
      </c>
      <c r="AB912" s="3">
        <f t="shared" si="216"/>
        <v>13450689.723148542</v>
      </c>
      <c r="AC912" s="3">
        <f t="shared" si="217"/>
        <v>-1010900.8878796827</v>
      </c>
      <c r="AD912" s="3">
        <f t="shared" si="218"/>
        <v>13488623.896955898</v>
      </c>
      <c r="AE912" s="3">
        <f t="shared" si="219"/>
        <v>13465689.723148542</v>
      </c>
      <c r="AF912" s="3">
        <f t="shared" si="223"/>
        <v>-1035900.8878796827</v>
      </c>
      <c r="AG912" s="3">
        <f t="shared" si="220"/>
        <v>13505476.31035715</v>
      </c>
      <c r="AH912" s="3">
        <f t="shared" si="221"/>
        <v>6.6992544877644373E-3</v>
      </c>
      <c r="AI912" s="3">
        <f t="shared" si="222"/>
        <v>-5.0845676729268285E-4</v>
      </c>
    </row>
    <row r="913" spans="19:35" x14ac:dyDescent="0.3">
      <c r="S913" s="6">
        <v>896</v>
      </c>
      <c r="T913" s="4">
        <f t="shared" si="208"/>
        <v>448</v>
      </c>
      <c r="U913" s="3">
        <f t="shared" si="209"/>
        <v>-13498651.987331901</v>
      </c>
      <c r="V913" s="3">
        <f t="shared" si="210"/>
        <v>1023201.7233343109</v>
      </c>
      <c r="W913" s="3">
        <f t="shared" si="211"/>
        <v>-27957.764193940959</v>
      </c>
      <c r="X913" s="3">
        <f t="shared" si="212"/>
        <v>2300.4939265648732</v>
      </c>
      <c r="Y913" s="3">
        <f t="shared" si="213"/>
        <v>13504671.606276739</v>
      </c>
      <c r="Z913" s="3">
        <f t="shared" si="214"/>
        <v>-1014551.3626038268</v>
      </c>
      <c r="AA913" s="3">
        <f t="shared" si="215"/>
        <v>13542727.556173403</v>
      </c>
      <c r="AB913" s="3">
        <f t="shared" si="216"/>
        <v>13464671.606276739</v>
      </c>
      <c r="AC913" s="3">
        <f t="shared" si="217"/>
        <v>-1012051.3626038268</v>
      </c>
      <c r="AD913" s="3">
        <f t="shared" si="218"/>
        <v>13502652.681063201</v>
      </c>
      <c r="AE913" s="3">
        <f t="shared" si="219"/>
        <v>13479671.606276739</v>
      </c>
      <c r="AF913" s="3">
        <f t="shared" si="223"/>
        <v>-1037051.3626038268</v>
      </c>
      <c r="AG913" s="3">
        <f t="shared" si="220"/>
        <v>13519505.247668711</v>
      </c>
      <c r="AH913" s="3">
        <f t="shared" si="221"/>
        <v>6.6853626712779363E-3</v>
      </c>
      <c r="AI913" s="3">
        <f t="shared" si="222"/>
        <v>-5.0744665763478533E-4</v>
      </c>
    </row>
    <row r="914" spans="19:35" x14ac:dyDescent="0.3">
      <c r="S914" s="6">
        <v>897</v>
      </c>
      <c r="T914" s="4">
        <f t="shared" ref="T914:T977" si="224">T913+$C$4</f>
        <v>448.5</v>
      </c>
      <c r="U914" s="3">
        <f t="shared" ref="U914:U977" si="225">U913+(W913*$C$4)+(AH913*POWER($C$4,2))</f>
        <v>-13512630.867757531</v>
      </c>
      <c r="V914" s="3">
        <f t="shared" ref="V914:V977" si="226">V913+(X913*$C$4)+(AI913*POWER($C$4,2))</f>
        <v>1024351.9701707318</v>
      </c>
      <c r="W914" s="3">
        <f t="shared" ref="W914:W977" si="227">W913+(AH913*T914)</f>
        <v>-27954.76580878289</v>
      </c>
      <c r="X914" s="3">
        <f t="shared" ref="X914:X977" si="228">X913+(AI913*T914)</f>
        <v>2300.2663367389241</v>
      </c>
      <c r="Y914" s="3">
        <f t="shared" ref="Y914:Y977" si="229">$C$19-U913</f>
        <v>13518651.987331901</v>
      </c>
      <c r="Z914" s="3">
        <f t="shared" ref="Z914:Z977" si="230">$C$20-V913</f>
        <v>-1015701.7233343109</v>
      </c>
      <c r="AA914" s="3">
        <f t="shared" ref="AA914:AA977" si="231">SQRT(POWER(Y914,2)+POWER(Z914,2))</f>
        <v>13556754.830909094</v>
      </c>
      <c r="AB914" s="3">
        <f t="shared" ref="AB914:AB978" si="232">$F$19-U913</f>
        <v>13478651.987331901</v>
      </c>
      <c r="AC914" s="3">
        <f t="shared" ref="AC914:AC978" si="233">$F$20-V913</f>
        <v>-1013201.7233343109</v>
      </c>
      <c r="AD914" s="3">
        <f t="shared" ref="AD914:AD977" si="234">SQRT(POWER(AB914,2)+POWER(AC914,2))</f>
        <v>13516679.959508318</v>
      </c>
      <c r="AE914" s="3">
        <f t="shared" ref="AE914:AE978" si="235">$I$19-U913</f>
        <v>13493651.987331901</v>
      </c>
      <c r="AF914" s="3">
        <f t="shared" si="223"/>
        <v>-1038201.7233343109</v>
      </c>
      <c r="AG914" s="3">
        <f t="shared" ref="AG914:AG977" si="236">SQRT(POWER(AE914,2)+POWER(AF914,2))</f>
        <v>13533532.678999985</v>
      </c>
      <c r="AH914" s="3">
        <f t="shared" ref="AH914:AH977" si="237">($C$24*(Y914/POWER(POWER(AA914,2)+POWER($C$25,2),3/2)))+($F$24*(AB914/POWER(POWER(AD914,2)+POWER($F$25,2),3/2)))+($I$24*(AE914/POWER(POWER(AG914,2)+POWER($I$25,2),3/2)))</f>
        <v>6.6715155034307826E-3</v>
      </c>
      <c r="AI914" s="3">
        <f t="shared" ref="AI914:AI977" si="238">$C$24*(Z914/POWER(POWER(AA914,2)+POWER($C$25,2),3/2))+$F$24*(AC914/POWER(POWER(AD914,2)+POWER($F$25,2),3/2))+$I$24*(AF914/POWER(POWER(AG914,2)+POWER($I$25,2),3/2))</f>
        <v>-5.0643966200278323E-4</v>
      </c>
    </row>
    <row r="915" spans="19:35" x14ac:dyDescent="0.3">
      <c r="S915" s="6">
        <v>898</v>
      </c>
      <c r="T915" s="4">
        <f t="shared" si="224"/>
        <v>449</v>
      </c>
      <c r="U915" s="3">
        <f t="shared" si="225"/>
        <v>-13526608.248994043</v>
      </c>
      <c r="V915" s="3">
        <f t="shared" si="226"/>
        <v>1025502.1032124913</v>
      </c>
      <c r="W915" s="3">
        <f t="shared" si="227"/>
        <v>-27951.770298321848</v>
      </c>
      <c r="X915" s="3">
        <f t="shared" si="228"/>
        <v>2300.0389453306848</v>
      </c>
      <c r="Y915" s="3">
        <f t="shared" si="229"/>
        <v>13532630.867757531</v>
      </c>
      <c r="Z915" s="3">
        <f t="shared" si="230"/>
        <v>-1016851.9701707318</v>
      </c>
      <c r="AA915" s="3">
        <f t="shared" si="231"/>
        <v>13570780.601432772</v>
      </c>
      <c r="AB915" s="3">
        <f t="shared" si="232"/>
        <v>13492630.867757531</v>
      </c>
      <c r="AC915" s="3">
        <f t="shared" si="233"/>
        <v>-1014351.9701707318</v>
      </c>
      <c r="AD915" s="3">
        <f t="shared" si="234"/>
        <v>13530705.733735865</v>
      </c>
      <c r="AE915" s="3">
        <f t="shared" si="235"/>
        <v>13507630.867757531</v>
      </c>
      <c r="AF915" s="3">
        <f t="shared" ref="AF915:AF978" si="239">$I$20-V914</f>
        <v>-1039351.9701707318</v>
      </c>
      <c r="AG915" s="3">
        <f t="shared" si="236"/>
        <v>13547558.605796613</v>
      </c>
      <c r="AH915" s="3">
        <f t="shared" si="237"/>
        <v>6.6577127903514038E-3</v>
      </c>
      <c r="AI915" s="3">
        <f t="shared" si="238"/>
        <v>-5.0543576742502168E-4</v>
      </c>
    </row>
    <row r="916" spans="19:35" x14ac:dyDescent="0.3">
      <c r="S916" s="6">
        <v>899</v>
      </c>
      <c r="T916" s="4">
        <f t="shared" si="224"/>
        <v>449.5</v>
      </c>
      <c r="U916" s="3">
        <f t="shared" si="225"/>
        <v>-13540584.132478775</v>
      </c>
      <c r="V916" s="3">
        <f t="shared" si="226"/>
        <v>1026652.1225587977</v>
      </c>
      <c r="W916" s="3">
        <f t="shared" si="227"/>
        <v>-27948.777656422586</v>
      </c>
      <c r="X916" s="3">
        <f t="shared" si="228"/>
        <v>2299.811751953227</v>
      </c>
      <c r="Y916" s="3">
        <f t="shared" si="229"/>
        <v>13546608.248994043</v>
      </c>
      <c r="Z916" s="3">
        <f t="shared" si="230"/>
        <v>-1018002.1032124913</v>
      </c>
      <c r="AA916" s="3">
        <f t="shared" si="231"/>
        <v>13584804.869185958</v>
      </c>
      <c r="AB916" s="3">
        <f t="shared" si="232"/>
        <v>13506608.248994043</v>
      </c>
      <c r="AC916" s="3">
        <f t="shared" si="233"/>
        <v>-1015502.1032124913</v>
      </c>
      <c r="AD916" s="3">
        <f t="shared" si="234"/>
        <v>13544730.005187366</v>
      </c>
      <c r="AE916" s="3">
        <f t="shared" si="235"/>
        <v>13521608.248994043</v>
      </c>
      <c r="AF916" s="3">
        <f t="shared" si="239"/>
        <v>-1040502.1032124913</v>
      </c>
      <c r="AG916" s="3">
        <f t="shared" si="236"/>
        <v>13561583.029501142</v>
      </c>
      <c r="AH916" s="3">
        <f t="shared" si="237"/>
        <v>6.6439543392277835E-3</v>
      </c>
      <c r="AI916" s="3">
        <f t="shared" si="238"/>
        <v>-5.0443496099783426E-4</v>
      </c>
    </row>
    <row r="917" spans="19:35" x14ac:dyDescent="0.3">
      <c r="S917" s="6">
        <v>900</v>
      </c>
      <c r="T917" s="4">
        <f t="shared" si="224"/>
        <v>450</v>
      </c>
      <c r="U917" s="3">
        <f t="shared" si="225"/>
        <v>-13554558.519645998</v>
      </c>
      <c r="V917" s="3">
        <f t="shared" si="226"/>
        <v>1027802.0283086656</v>
      </c>
      <c r="W917" s="3">
        <f t="shared" si="227"/>
        <v>-27945.787876969935</v>
      </c>
      <c r="X917" s="3">
        <f t="shared" si="228"/>
        <v>2299.5847562207782</v>
      </c>
      <c r="Y917" s="3">
        <f t="shared" si="229"/>
        <v>13560584.132478775</v>
      </c>
      <c r="Z917" s="3">
        <f t="shared" si="230"/>
        <v>-1019152.1225587977</v>
      </c>
      <c r="AA917" s="3">
        <f t="shared" si="231"/>
        <v>13598827.635607095</v>
      </c>
      <c r="AB917" s="3">
        <f t="shared" si="232"/>
        <v>13520584.132478775</v>
      </c>
      <c r="AC917" s="3">
        <f t="shared" si="233"/>
        <v>-1016652.1225587977</v>
      </c>
      <c r="AD917" s="3">
        <f t="shared" si="234"/>
        <v>13558752.77530128</v>
      </c>
      <c r="AE917" s="3">
        <f t="shared" si="235"/>
        <v>13535584.132478775</v>
      </c>
      <c r="AF917" s="3">
        <f t="shared" si="239"/>
        <v>-1041652.1225587977</v>
      </c>
      <c r="AG917" s="3">
        <f t="shared" si="236"/>
        <v>13575605.951553045</v>
      </c>
      <c r="AH917" s="3">
        <f t="shared" si="237"/>
        <v>6.6302399583002703E-3</v>
      </c>
      <c r="AI917" s="3">
        <f t="shared" si="238"/>
        <v>-5.0343722988509753E-4</v>
      </c>
    </row>
    <row r="918" spans="19:35" x14ac:dyDescent="0.3">
      <c r="S918" s="6">
        <v>901</v>
      </c>
      <c r="T918" s="4">
        <f t="shared" si="224"/>
        <v>450.5</v>
      </c>
      <c r="U918" s="3">
        <f t="shared" si="225"/>
        <v>-13568531.411926923</v>
      </c>
      <c r="V918" s="3">
        <f t="shared" si="226"/>
        <v>1028951.8205609167</v>
      </c>
      <c r="W918" s="3">
        <f t="shared" si="227"/>
        <v>-27942.800953868722</v>
      </c>
      <c r="X918" s="3">
        <f t="shared" si="228"/>
        <v>2299.3579577487149</v>
      </c>
      <c r="Y918" s="3">
        <f t="shared" si="229"/>
        <v>13574558.519645998</v>
      </c>
      <c r="Z918" s="3">
        <f t="shared" si="230"/>
        <v>-1020302.0283086656</v>
      </c>
      <c r="AA918" s="3">
        <f t="shared" si="231"/>
        <v>13612848.902131565</v>
      </c>
      <c r="AB918" s="3">
        <f t="shared" si="232"/>
        <v>13534558.519645998</v>
      </c>
      <c r="AC918" s="3">
        <f t="shared" si="233"/>
        <v>-1017802.0283086656</v>
      </c>
      <c r="AD918" s="3">
        <f t="shared" si="234"/>
        <v>13572774.045512998</v>
      </c>
      <c r="AE918" s="3">
        <f t="shared" si="235"/>
        <v>13549558.519645998</v>
      </c>
      <c r="AF918" s="3">
        <f t="shared" si="239"/>
        <v>-1042802.0283086656</v>
      </c>
      <c r="AG918" s="3">
        <f t="shared" si="236"/>
        <v>13589627.373388724</v>
      </c>
      <c r="AH918" s="3">
        <f t="shared" si="237"/>
        <v>6.6165694568547399E-3</v>
      </c>
      <c r="AI918" s="3">
        <f t="shared" si="238"/>
        <v>-5.0244256131781132E-4</v>
      </c>
    </row>
    <row r="919" spans="19:35" x14ac:dyDescent="0.3">
      <c r="S919" s="6">
        <v>902</v>
      </c>
      <c r="T919" s="4">
        <f t="shared" si="224"/>
        <v>451</v>
      </c>
      <c r="U919" s="3">
        <f t="shared" si="225"/>
        <v>-13582502.810749715</v>
      </c>
      <c r="V919" s="3">
        <f t="shared" si="226"/>
        <v>1030101.4994141804</v>
      </c>
      <c r="W919" s="3">
        <f t="shared" si="227"/>
        <v>-27939.81688104368</v>
      </c>
      <c r="X919" s="3">
        <f t="shared" si="228"/>
        <v>2299.1313561535603</v>
      </c>
      <c r="Y919" s="3">
        <f t="shared" si="229"/>
        <v>13588531.411926923</v>
      </c>
      <c r="Z919" s="3">
        <f t="shared" si="230"/>
        <v>-1021451.8205609167</v>
      </c>
      <c r="AA919" s="3">
        <f t="shared" si="231"/>
        <v>13626868.670191694</v>
      </c>
      <c r="AB919" s="3">
        <f t="shared" si="232"/>
        <v>13548531.411926923</v>
      </c>
      <c r="AC919" s="3">
        <f t="shared" si="233"/>
        <v>-1018951.8205609167</v>
      </c>
      <c r="AD919" s="3">
        <f t="shared" si="234"/>
        <v>13586793.817254864</v>
      </c>
      <c r="AE919" s="3">
        <f t="shared" si="235"/>
        <v>13563531.411926923</v>
      </c>
      <c r="AF919" s="3">
        <f t="shared" si="239"/>
        <v>-1043951.8205609167</v>
      </c>
      <c r="AG919" s="3">
        <f t="shared" si="236"/>
        <v>13603647.296441523</v>
      </c>
      <c r="AH919" s="3">
        <f t="shared" si="237"/>
        <v>6.6029426452155898E-3</v>
      </c>
      <c r="AI919" s="3">
        <f t="shared" si="238"/>
        <v>-5.0145094259366595E-4</v>
      </c>
    </row>
    <row r="920" spans="19:35" x14ac:dyDescent="0.3">
      <c r="S920" s="6">
        <v>903</v>
      </c>
      <c r="T920" s="4">
        <f t="shared" si="224"/>
        <v>451.5</v>
      </c>
      <c r="U920" s="3">
        <f t="shared" si="225"/>
        <v>-13596472.7175395</v>
      </c>
      <c r="V920" s="3">
        <f t="shared" si="226"/>
        <v>1031251.0649668945</v>
      </c>
      <c r="W920" s="3">
        <f t="shared" si="227"/>
        <v>-27936.835652439364</v>
      </c>
      <c r="X920" s="3">
        <f t="shared" si="228"/>
        <v>2298.9049510529794</v>
      </c>
      <c r="Y920" s="3">
        <f t="shared" si="229"/>
        <v>13602502.810749715</v>
      </c>
      <c r="Z920" s="3">
        <f t="shared" si="230"/>
        <v>-1022601.4994141804</v>
      </c>
      <c r="AA920" s="3">
        <f t="shared" si="231"/>
        <v>13640886.941216763</v>
      </c>
      <c r="AB920" s="3">
        <f t="shared" si="232"/>
        <v>13562502.810749715</v>
      </c>
      <c r="AC920" s="3">
        <f t="shared" si="233"/>
        <v>-1020101.4994141804</v>
      </c>
      <c r="AD920" s="3">
        <f t="shared" si="234"/>
        <v>13600812.091956165</v>
      </c>
      <c r="AE920" s="3">
        <f t="shared" si="235"/>
        <v>13577502.810749715</v>
      </c>
      <c r="AF920" s="3">
        <f t="shared" si="239"/>
        <v>-1045101.4994141804</v>
      </c>
      <c r="AG920" s="3">
        <f t="shared" si="236"/>
        <v>13617665.722141743</v>
      </c>
      <c r="AH920" s="3">
        <f t="shared" si="237"/>
        <v>6.5893593347393321E-3</v>
      </c>
      <c r="AI920" s="3">
        <f t="shared" si="238"/>
        <v>-5.0046236107665395E-4</v>
      </c>
    </row>
    <row r="921" spans="19:35" x14ac:dyDescent="0.3">
      <c r="S921" s="6">
        <v>904</v>
      </c>
      <c r="T921" s="4">
        <f t="shared" si="224"/>
        <v>452</v>
      </c>
      <c r="U921" s="3">
        <f t="shared" si="225"/>
        <v>-13610441.133718381</v>
      </c>
      <c r="V921" s="3">
        <f t="shared" si="226"/>
        <v>1032400.5173173053</v>
      </c>
      <c r="W921" s="3">
        <f t="shared" si="227"/>
        <v>-27933.857262020061</v>
      </c>
      <c r="X921" s="3">
        <f t="shared" si="228"/>
        <v>2298.6787420657729</v>
      </c>
      <c r="Y921" s="3">
        <f t="shared" si="229"/>
        <v>13616472.7175395</v>
      </c>
      <c r="Z921" s="3">
        <f t="shared" si="230"/>
        <v>-1023751.0649668945</v>
      </c>
      <c r="AA921" s="3">
        <f t="shared" si="231"/>
        <v>13654903.716633026</v>
      </c>
      <c r="AB921" s="3">
        <f t="shared" si="232"/>
        <v>13576472.7175395</v>
      </c>
      <c r="AC921" s="3">
        <f t="shared" si="233"/>
        <v>-1021251.0649668945</v>
      </c>
      <c r="AD921" s="3">
        <f t="shared" si="234"/>
        <v>13614828.871043161</v>
      </c>
      <c r="AE921" s="3">
        <f t="shared" si="235"/>
        <v>13591472.7175395</v>
      </c>
      <c r="AF921" s="3">
        <f t="shared" si="239"/>
        <v>-1046251.0649668945</v>
      </c>
      <c r="AG921" s="3">
        <f t="shared" si="236"/>
        <v>13631682.651916634</v>
      </c>
      <c r="AH921" s="3">
        <f t="shared" si="237"/>
        <v>6.5758193378072476E-3</v>
      </c>
      <c r="AI921" s="3">
        <f t="shared" si="238"/>
        <v>-4.9947680419660829E-4</v>
      </c>
    </row>
    <row r="922" spans="19:35" x14ac:dyDescent="0.3">
      <c r="S922" s="6">
        <v>905</v>
      </c>
      <c r="T922" s="4">
        <f t="shared" si="224"/>
        <v>452.5</v>
      </c>
      <c r="U922" s="3">
        <f t="shared" si="225"/>
        <v>-13624408.060705435</v>
      </c>
      <c r="V922" s="3">
        <f t="shared" si="226"/>
        <v>1033549.856563469</v>
      </c>
      <c r="W922" s="3">
        <f t="shared" si="227"/>
        <v>-27930.881703769704</v>
      </c>
      <c r="X922" s="3">
        <f t="shared" si="228"/>
        <v>2298.4527288118738</v>
      </c>
      <c r="Y922" s="3">
        <f t="shared" si="229"/>
        <v>13630441.133718381</v>
      </c>
      <c r="Z922" s="3">
        <f t="shared" si="230"/>
        <v>-1024900.5173173053</v>
      </c>
      <c r="AA922" s="3">
        <f t="shared" si="231"/>
        <v>13668918.997863704</v>
      </c>
      <c r="AB922" s="3">
        <f t="shared" si="232"/>
        <v>13590441.133718381</v>
      </c>
      <c r="AC922" s="3">
        <f t="shared" si="233"/>
        <v>-1022400.5173173053</v>
      </c>
      <c r="AD922" s="3">
        <f t="shared" si="234"/>
        <v>13628844.155939095</v>
      </c>
      <c r="AE922" s="3">
        <f t="shared" si="235"/>
        <v>13605441.133718381</v>
      </c>
      <c r="AF922" s="3">
        <f t="shared" si="239"/>
        <v>-1047400.5173173053</v>
      </c>
      <c r="AG922" s="3">
        <f t="shared" si="236"/>
        <v>13645698.087190434</v>
      </c>
      <c r="AH922" s="3">
        <f t="shared" si="237"/>
        <v>6.5623224678191469E-3</v>
      </c>
      <c r="AI922" s="3">
        <f t="shared" si="238"/>
        <v>-4.9849425944882651E-4</v>
      </c>
    </row>
    <row r="923" spans="19:35" x14ac:dyDescent="0.3">
      <c r="S923" s="6">
        <v>906</v>
      </c>
      <c r="T923" s="4">
        <f t="shared" si="224"/>
        <v>453</v>
      </c>
      <c r="U923" s="3">
        <f t="shared" si="225"/>
        <v>-13638373.499916738</v>
      </c>
      <c r="V923" s="3">
        <f t="shared" si="226"/>
        <v>1034699.0828032515</v>
      </c>
      <c r="W923" s="3">
        <f t="shared" si="227"/>
        <v>-27927.908971691781</v>
      </c>
      <c r="X923" s="3">
        <f t="shared" si="228"/>
        <v>2298.2269109123436</v>
      </c>
      <c r="Y923" s="3">
        <f t="shared" si="229"/>
        <v>13644408.060705435</v>
      </c>
      <c r="Z923" s="3">
        <f t="shared" si="230"/>
        <v>-1026049.856563469</v>
      </c>
      <c r="AA923" s="3">
        <f t="shared" si="231"/>
        <v>13682932.786329009</v>
      </c>
      <c r="AB923" s="3">
        <f t="shared" si="232"/>
        <v>13604408.060705435</v>
      </c>
      <c r="AC923" s="3">
        <f t="shared" si="233"/>
        <v>-1023549.856563469</v>
      </c>
      <c r="AD923" s="3">
        <f t="shared" si="234"/>
        <v>13642857.948064184</v>
      </c>
      <c r="AE923" s="3">
        <f t="shared" si="235"/>
        <v>13619408.060705435</v>
      </c>
      <c r="AF923" s="3">
        <f t="shared" si="239"/>
        <v>-1048549.856563469</v>
      </c>
      <c r="AG923" s="3">
        <f t="shared" si="236"/>
        <v>13659712.029384347</v>
      </c>
      <c r="AH923" s="3">
        <f t="shared" si="237"/>
        <v>6.5488685391864969E-3</v>
      </c>
      <c r="AI923" s="3">
        <f t="shared" si="238"/>
        <v>-4.9751471439364267E-4</v>
      </c>
    </row>
    <row r="924" spans="19:35" x14ac:dyDescent="0.3">
      <c r="S924" s="6">
        <v>907</v>
      </c>
      <c r="T924" s="4">
        <f t="shared" si="224"/>
        <v>453.5</v>
      </c>
      <c r="U924" s="3">
        <f t="shared" si="225"/>
        <v>-13652337.452765368</v>
      </c>
      <c r="V924" s="3">
        <f t="shared" si="226"/>
        <v>1035848.196134329</v>
      </c>
      <c r="W924" s="3">
        <f t="shared" si="227"/>
        <v>-27924.939059809258</v>
      </c>
      <c r="X924" s="3">
        <f t="shared" si="228"/>
        <v>2298.0012879893661</v>
      </c>
      <c r="Y924" s="3">
        <f t="shared" si="229"/>
        <v>13658373.499916738</v>
      </c>
      <c r="Z924" s="3">
        <f t="shared" si="230"/>
        <v>-1027199.0828032515</v>
      </c>
      <c r="AA924" s="3">
        <f t="shared" si="231"/>
        <v>13696945.083446151</v>
      </c>
      <c r="AB924" s="3">
        <f t="shared" si="232"/>
        <v>13618373.499916738</v>
      </c>
      <c r="AC924" s="3">
        <f t="shared" si="233"/>
        <v>-1024699.0828032515</v>
      </c>
      <c r="AD924" s="3">
        <f t="shared" si="234"/>
        <v>13656870.248835649</v>
      </c>
      <c r="AE924" s="3">
        <f t="shared" si="235"/>
        <v>13633373.499916738</v>
      </c>
      <c r="AF924" s="3">
        <f t="shared" si="239"/>
        <v>-1049699.0828032515</v>
      </c>
      <c r="AG924" s="3">
        <f t="shared" si="236"/>
        <v>13673724.47991658</v>
      </c>
      <c r="AH924" s="3">
        <f t="shared" si="237"/>
        <v>6.5354573673259281E-3</v>
      </c>
      <c r="AI924" s="3">
        <f t="shared" si="238"/>
        <v>-4.9653815665602922E-4</v>
      </c>
    </row>
    <row r="925" spans="19:35" x14ac:dyDescent="0.3">
      <c r="S925" s="6">
        <v>908</v>
      </c>
      <c r="T925" s="4">
        <f t="shared" si="224"/>
        <v>454</v>
      </c>
      <c r="U925" s="3">
        <f t="shared" si="225"/>
        <v>-13666299.920661408</v>
      </c>
      <c r="V925" s="3">
        <f t="shared" si="226"/>
        <v>1036997.196654189</v>
      </c>
      <c r="W925" s="3">
        <f t="shared" si="227"/>
        <v>-27921.971962164491</v>
      </c>
      <c r="X925" s="3">
        <f t="shared" si="228"/>
        <v>2297.7758596662443</v>
      </c>
      <c r="Y925" s="3">
        <f t="shared" si="229"/>
        <v>13672337.452765368</v>
      </c>
      <c r="Z925" s="3">
        <f t="shared" si="230"/>
        <v>-1028348.196134329</v>
      </c>
      <c r="AA925" s="3">
        <f t="shared" si="231"/>
        <v>13710955.890629336</v>
      </c>
      <c r="AB925" s="3">
        <f t="shared" si="232"/>
        <v>13632337.452765368</v>
      </c>
      <c r="AC925" s="3">
        <f t="shared" si="233"/>
        <v>-1025848.196134329</v>
      </c>
      <c r="AD925" s="3">
        <f t="shared" si="234"/>
        <v>13670881.059667714</v>
      </c>
      <c r="AE925" s="3">
        <f t="shared" si="235"/>
        <v>13647337.452765368</v>
      </c>
      <c r="AF925" s="3">
        <f t="shared" si="239"/>
        <v>-1050848.1961343288</v>
      </c>
      <c r="AG925" s="3">
        <f t="shared" si="236"/>
        <v>13687735.440202339</v>
      </c>
      <c r="AH925" s="3">
        <f t="shared" si="237"/>
        <v>6.5220887686524703E-3</v>
      </c>
      <c r="AI925" s="3">
        <f t="shared" si="238"/>
        <v>-4.9556457392517755E-4</v>
      </c>
    </row>
    <row r="926" spans="19:35" x14ac:dyDescent="0.3">
      <c r="S926" s="6">
        <v>909</v>
      </c>
      <c r="T926" s="4">
        <f t="shared" si="224"/>
        <v>454.5</v>
      </c>
      <c r="U926" s="3">
        <f t="shared" si="225"/>
        <v>-13680260.905011969</v>
      </c>
      <c r="V926" s="3">
        <f t="shared" si="226"/>
        <v>1038146.084460131</v>
      </c>
      <c r="W926" s="3">
        <f t="shared" si="227"/>
        <v>-27919.007672819138</v>
      </c>
      <c r="X926" s="3">
        <f t="shared" si="228"/>
        <v>2297.5506255673954</v>
      </c>
      <c r="Y926" s="3">
        <f t="shared" si="229"/>
        <v>13686299.920661408</v>
      </c>
      <c r="Z926" s="3">
        <f t="shared" si="230"/>
        <v>-1029497.196654189</v>
      </c>
      <c r="AA926" s="3">
        <f t="shared" si="231"/>
        <v>13724965.209289797</v>
      </c>
      <c r="AB926" s="3">
        <f t="shared" si="232"/>
        <v>13646299.920661408</v>
      </c>
      <c r="AC926" s="3">
        <f t="shared" si="233"/>
        <v>-1026997.196654189</v>
      </c>
      <c r="AD926" s="3">
        <f t="shared" si="234"/>
        <v>13684890.381971613</v>
      </c>
      <c r="AE926" s="3">
        <f t="shared" si="235"/>
        <v>13661299.920661408</v>
      </c>
      <c r="AF926" s="3">
        <f t="shared" si="239"/>
        <v>-1051997.1966541889</v>
      </c>
      <c r="AG926" s="3">
        <f t="shared" si="236"/>
        <v>13701744.911653832</v>
      </c>
      <c r="AH926" s="3">
        <f t="shared" si="237"/>
        <v>6.5087625605732479E-3</v>
      </c>
      <c r="AI926" s="3">
        <f t="shared" si="238"/>
        <v>-4.9459395395411089E-4</v>
      </c>
    </row>
    <row r="927" spans="19:35" x14ac:dyDescent="0.3">
      <c r="S927" s="6">
        <v>910</v>
      </c>
      <c r="T927" s="4">
        <f t="shared" si="224"/>
        <v>455</v>
      </c>
      <c r="U927" s="3">
        <f t="shared" si="225"/>
        <v>-13694220.407221189</v>
      </c>
      <c r="V927" s="3">
        <f t="shared" si="226"/>
        <v>1039294.8596492662</v>
      </c>
      <c r="W927" s="3">
        <f t="shared" si="227"/>
        <v>-27916.046185854077</v>
      </c>
      <c r="X927" s="3">
        <f t="shared" si="228"/>
        <v>2297.3255853183464</v>
      </c>
      <c r="Y927" s="3">
        <f t="shared" si="229"/>
        <v>13700260.905011969</v>
      </c>
      <c r="Z927" s="3">
        <f t="shared" si="230"/>
        <v>-1030646.084460131</v>
      </c>
      <c r="AA927" s="3">
        <f t="shared" si="231"/>
        <v>13738973.040835781</v>
      </c>
      <c r="AB927" s="3">
        <f t="shared" si="232"/>
        <v>13660260.905011969</v>
      </c>
      <c r="AC927" s="3">
        <f t="shared" si="233"/>
        <v>-1028146.084460131</v>
      </c>
      <c r="AD927" s="3">
        <f t="shared" si="234"/>
        <v>13698898.217155607</v>
      </c>
      <c r="AE927" s="3">
        <f t="shared" si="235"/>
        <v>13675260.905011969</v>
      </c>
      <c r="AF927" s="3">
        <f t="shared" si="239"/>
        <v>-1053146.0844601309</v>
      </c>
      <c r="AG927" s="3">
        <f t="shared" si="236"/>
        <v>13715752.895680299</v>
      </c>
      <c r="AH927" s="3">
        <f t="shared" si="237"/>
        <v>6.4954785614810525E-3</v>
      </c>
      <c r="AI927" s="3">
        <f t="shared" si="238"/>
        <v>-4.9362628455929013E-4</v>
      </c>
    </row>
    <row r="928" spans="19:35" x14ac:dyDescent="0.3">
      <c r="S928" s="6">
        <v>911</v>
      </c>
      <c r="T928" s="4">
        <f t="shared" si="224"/>
        <v>455.5</v>
      </c>
      <c r="U928" s="3">
        <f t="shared" si="225"/>
        <v>-13708178.428690247</v>
      </c>
      <c r="V928" s="3">
        <f t="shared" si="226"/>
        <v>1040443.5223185188</v>
      </c>
      <c r="W928" s="3">
        <f t="shared" si="227"/>
        <v>-27913.087495369324</v>
      </c>
      <c r="X928" s="3">
        <f t="shared" si="228"/>
        <v>2297.1007385457297</v>
      </c>
      <c r="Y928" s="3">
        <f t="shared" si="229"/>
        <v>13714220.407221189</v>
      </c>
      <c r="Z928" s="3">
        <f t="shared" si="230"/>
        <v>-1031794.8596492662</v>
      </c>
      <c r="AA928" s="3">
        <f t="shared" si="231"/>
        <v>13752979.386672575</v>
      </c>
      <c r="AB928" s="3">
        <f t="shared" si="232"/>
        <v>13674220.407221189</v>
      </c>
      <c r="AC928" s="3">
        <f t="shared" si="233"/>
        <v>-1029294.8596492662</v>
      </c>
      <c r="AD928" s="3">
        <f t="shared" si="234"/>
        <v>13712904.566625001</v>
      </c>
      <c r="AE928" s="3">
        <f t="shared" si="235"/>
        <v>13689220.407221189</v>
      </c>
      <c r="AF928" s="3">
        <f t="shared" si="239"/>
        <v>-1054294.8596492661</v>
      </c>
      <c r="AG928" s="3">
        <f t="shared" si="236"/>
        <v>13729759.393688003</v>
      </c>
      <c r="AH928" s="3">
        <f t="shared" si="237"/>
        <v>6.4822365907476649E-3</v>
      </c>
      <c r="AI928" s="3">
        <f t="shared" si="238"/>
        <v>-4.9266155362019562E-4</v>
      </c>
    </row>
    <row r="929" spans="19:35" x14ac:dyDescent="0.3">
      <c r="S929" s="6">
        <v>912</v>
      </c>
      <c r="T929" s="4">
        <f t="shared" si="224"/>
        <v>456</v>
      </c>
      <c r="U929" s="3">
        <f t="shared" si="225"/>
        <v>-13722134.970817372</v>
      </c>
      <c r="V929" s="3">
        <f t="shared" si="226"/>
        <v>1041592.0725646262</v>
      </c>
      <c r="W929" s="3">
        <f t="shared" si="227"/>
        <v>-27910.131595483941</v>
      </c>
      <c r="X929" s="3">
        <f t="shared" si="228"/>
        <v>2296.876084877279</v>
      </c>
      <c r="Y929" s="3">
        <f t="shared" si="229"/>
        <v>13728178.428690247</v>
      </c>
      <c r="Z929" s="3">
        <f t="shared" si="230"/>
        <v>-1032943.5223185188</v>
      </c>
      <c r="AA929" s="3">
        <f t="shared" si="231"/>
        <v>13766984.248202508</v>
      </c>
      <c r="AB929" s="3">
        <f t="shared" si="232"/>
        <v>13688178.428690247</v>
      </c>
      <c r="AC929" s="3">
        <f t="shared" si="233"/>
        <v>-1030443.5223185188</v>
      </c>
      <c r="AD929" s="3">
        <f t="shared" si="234"/>
        <v>13726909.43178213</v>
      </c>
      <c r="AE929" s="3">
        <f t="shared" si="235"/>
        <v>13703178.428690247</v>
      </c>
      <c r="AF929" s="3">
        <f t="shared" si="239"/>
        <v>-1055443.5223185187</v>
      </c>
      <c r="AG929" s="3">
        <f t="shared" si="236"/>
        <v>13743764.407080246</v>
      </c>
      <c r="AH929" s="3">
        <f t="shared" si="237"/>
        <v>6.4690364687178138E-3</v>
      </c>
      <c r="AI929" s="3">
        <f t="shared" si="238"/>
        <v>-4.9169974907896006E-4</v>
      </c>
    </row>
    <row r="930" spans="19:35" x14ac:dyDescent="0.3">
      <c r="S930" s="6">
        <v>913</v>
      </c>
      <c r="T930" s="4">
        <f t="shared" si="224"/>
        <v>456.5</v>
      </c>
      <c r="U930" s="3">
        <f t="shared" si="225"/>
        <v>-13736090.034997856</v>
      </c>
      <c r="V930" s="3">
        <f t="shared" si="226"/>
        <v>1042740.5104841399</v>
      </c>
      <c r="W930" s="3">
        <f t="shared" si="227"/>
        <v>-27907.17848033597</v>
      </c>
      <c r="X930" s="3">
        <f t="shared" si="228"/>
        <v>2296.6516239418243</v>
      </c>
      <c r="Y930" s="3">
        <f t="shared" si="229"/>
        <v>13742134.970817372</v>
      </c>
      <c r="Z930" s="3">
        <f t="shared" si="230"/>
        <v>-1034092.0725646262</v>
      </c>
      <c r="AA930" s="3">
        <f t="shared" si="231"/>
        <v>13780987.626824966</v>
      </c>
      <c r="AB930" s="3">
        <f t="shared" si="232"/>
        <v>13702134.970817372</v>
      </c>
      <c r="AC930" s="3">
        <f t="shared" si="233"/>
        <v>-1031592.0725646262</v>
      </c>
      <c r="AD930" s="3">
        <f t="shared" si="234"/>
        <v>13740912.814026387</v>
      </c>
      <c r="AE930" s="3">
        <f t="shared" si="235"/>
        <v>13717134.970817372</v>
      </c>
      <c r="AF930" s="3">
        <f t="shared" si="239"/>
        <v>-1056592.0725646261</v>
      </c>
      <c r="AG930" s="3">
        <f t="shared" si="236"/>
        <v>13757767.937257385</v>
      </c>
      <c r="AH930" s="3">
        <f t="shared" si="237"/>
        <v>6.4558780167026149E-3</v>
      </c>
      <c r="AI930" s="3">
        <f t="shared" si="238"/>
        <v>-4.9074085893995999E-4</v>
      </c>
    </row>
    <row r="931" spans="19:35" x14ac:dyDescent="0.3">
      <c r="S931" s="6">
        <v>914</v>
      </c>
      <c r="T931" s="4">
        <f t="shared" si="224"/>
        <v>457</v>
      </c>
      <c r="U931" s="3">
        <f t="shared" si="225"/>
        <v>-13750043.622624055</v>
      </c>
      <c r="V931" s="3">
        <f t="shared" si="226"/>
        <v>1043888.8361734255</v>
      </c>
      <c r="W931" s="3">
        <f t="shared" si="227"/>
        <v>-27904.228144082335</v>
      </c>
      <c r="X931" s="3">
        <f t="shared" si="228"/>
        <v>2296.4273553692888</v>
      </c>
      <c r="Y931" s="3">
        <f t="shared" si="229"/>
        <v>13756090.034997856</v>
      </c>
      <c r="Z931" s="3">
        <f t="shared" si="230"/>
        <v>-1035240.5104841399</v>
      </c>
      <c r="AA931" s="3">
        <f t="shared" si="231"/>
        <v>13794989.523936391</v>
      </c>
      <c r="AB931" s="3">
        <f t="shared" si="232"/>
        <v>13716090.034997856</v>
      </c>
      <c r="AC931" s="3">
        <f t="shared" si="233"/>
        <v>-1032740.5104841399</v>
      </c>
      <c r="AD931" s="3">
        <f t="shared" si="234"/>
        <v>13754914.714754233</v>
      </c>
      <c r="AE931" s="3">
        <f t="shared" si="235"/>
        <v>13731090.034997856</v>
      </c>
      <c r="AF931" s="3">
        <f t="shared" si="239"/>
        <v>-1057740.5104841399</v>
      </c>
      <c r="AG931" s="3">
        <f t="shared" si="236"/>
        <v>13771769.985616833</v>
      </c>
      <c r="AH931" s="3">
        <f t="shared" si="237"/>
        <v>6.442761056973511E-3</v>
      </c>
      <c r="AI931" s="3">
        <f t="shared" si="238"/>
        <v>-4.8978487126944282E-4</v>
      </c>
    </row>
    <row r="932" spans="19:35" x14ac:dyDescent="0.3">
      <c r="S932" s="6">
        <v>915</v>
      </c>
      <c r="T932" s="4">
        <f t="shared" si="224"/>
        <v>457.5</v>
      </c>
      <c r="U932" s="3">
        <f t="shared" si="225"/>
        <v>-13763995.735085405</v>
      </c>
      <c r="V932" s="3">
        <f t="shared" si="226"/>
        <v>1045037.049728664</v>
      </c>
      <c r="W932" s="3">
        <f t="shared" si="227"/>
        <v>-27901.280580898769</v>
      </c>
      <c r="X932" s="3">
        <f t="shared" si="228"/>
        <v>2296.2032787906828</v>
      </c>
      <c r="Y932" s="3">
        <f t="shared" si="229"/>
        <v>13770043.622624055</v>
      </c>
      <c r="Z932" s="3">
        <f t="shared" si="230"/>
        <v>-1036388.8361734255</v>
      </c>
      <c r="AA932" s="3">
        <f t="shared" si="231"/>
        <v>13808989.940930303</v>
      </c>
      <c r="AB932" s="3">
        <f t="shared" si="232"/>
        <v>13730043.622624055</v>
      </c>
      <c r="AC932" s="3">
        <f t="shared" si="233"/>
        <v>-1033888.8361734255</v>
      </c>
      <c r="AD932" s="3">
        <f t="shared" si="234"/>
        <v>13768915.135359194</v>
      </c>
      <c r="AE932" s="3">
        <f t="shared" si="235"/>
        <v>13745043.622624055</v>
      </c>
      <c r="AF932" s="3">
        <f t="shared" si="239"/>
        <v>-1058888.8361734254</v>
      </c>
      <c r="AG932" s="3">
        <f t="shared" si="236"/>
        <v>13785770.553553069</v>
      </c>
      <c r="AH932" s="3">
        <f t="shared" si="237"/>
        <v>6.4296854127558981E-3</v>
      </c>
      <c r="AI932" s="3">
        <f t="shared" si="238"/>
        <v>-4.8883177419513292E-4</v>
      </c>
    </row>
    <row r="933" spans="19:35" x14ac:dyDescent="0.3">
      <c r="S933" s="6">
        <v>916</v>
      </c>
      <c r="T933" s="4">
        <f t="shared" si="224"/>
        <v>458</v>
      </c>
      <c r="U933" s="3">
        <f t="shared" si="225"/>
        <v>-13777946.373768434</v>
      </c>
      <c r="V933" s="3">
        <f t="shared" si="226"/>
        <v>1046185.1512458514</v>
      </c>
      <c r="W933" s="3">
        <f t="shared" si="227"/>
        <v>-27898.335784979725</v>
      </c>
      <c r="X933" s="3">
        <f t="shared" si="228"/>
        <v>2295.9793938381013</v>
      </c>
      <c r="Y933" s="3">
        <f t="shared" si="229"/>
        <v>13783995.735085405</v>
      </c>
      <c r="Z933" s="3">
        <f t="shared" si="230"/>
        <v>-1037537.049728664</v>
      </c>
      <c r="AA933" s="3">
        <f t="shared" si="231"/>
        <v>13822988.879197303</v>
      </c>
      <c r="AB933" s="3">
        <f t="shared" si="232"/>
        <v>13743995.735085405</v>
      </c>
      <c r="AC933" s="3">
        <f t="shared" si="233"/>
        <v>-1035037.049728664</v>
      </c>
      <c r="AD933" s="3">
        <f t="shared" si="234"/>
        <v>13782914.077231884</v>
      </c>
      <c r="AE933" s="3">
        <f t="shared" si="235"/>
        <v>13758995.735085405</v>
      </c>
      <c r="AF933" s="3">
        <f t="shared" si="239"/>
        <v>-1060037.0497286641</v>
      </c>
      <c r="AG933" s="3">
        <f t="shared" si="236"/>
        <v>13799769.642457653</v>
      </c>
      <c r="AH933" s="3">
        <f t="shared" si="237"/>
        <v>6.4166509082229789E-3</v>
      </c>
      <c r="AI933" s="3">
        <f t="shared" si="238"/>
        <v>-4.8788155590585034E-4</v>
      </c>
    </row>
    <row r="934" spans="19:35" x14ac:dyDescent="0.3">
      <c r="S934" s="6">
        <v>917</v>
      </c>
      <c r="T934" s="4">
        <f t="shared" si="224"/>
        <v>458.5</v>
      </c>
      <c r="U934" s="3">
        <f t="shared" si="225"/>
        <v>-13791895.540056761</v>
      </c>
      <c r="V934" s="3">
        <f t="shared" si="226"/>
        <v>1047333.1408208001</v>
      </c>
      <c r="W934" s="3">
        <f t="shared" si="227"/>
        <v>-27895.393750538304</v>
      </c>
      <c r="X934" s="3">
        <f t="shared" si="228"/>
        <v>2295.7557001447185</v>
      </c>
      <c r="Y934" s="3">
        <f t="shared" si="229"/>
        <v>13797946.373768434</v>
      </c>
      <c r="Z934" s="3">
        <f t="shared" si="230"/>
        <v>-1038685.1512458514</v>
      </c>
      <c r="AA934" s="3">
        <f t="shared" si="231"/>
        <v>13836986.340125082</v>
      </c>
      <c r="AB934" s="3">
        <f t="shared" si="232"/>
        <v>13757946.373768434</v>
      </c>
      <c r="AC934" s="3">
        <f t="shared" si="233"/>
        <v>-1036185.1512458514</v>
      </c>
      <c r="AD934" s="3">
        <f t="shared" si="234"/>
        <v>13796911.541760003</v>
      </c>
      <c r="AE934" s="3">
        <f t="shared" si="235"/>
        <v>13772946.373768434</v>
      </c>
      <c r="AF934" s="3">
        <f t="shared" si="239"/>
        <v>-1061185.1512458515</v>
      </c>
      <c r="AG934" s="3">
        <f t="shared" si="236"/>
        <v>13813767.253719231</v>
      </c>
      <c r="AH934" s="3">
        <f t="shared" si="237"/>
        <v>6.4036573684897735E-3</v>
      </c>
      <c r="AI934" s="3">
        <f t="shared" si="238"/>
        <v>-4.8693420465114256E-4</v>
      </c>
    </row>
    <row r="935" spans="19:35" x14ac:dyDescent="0.3">
      <c r="S935" s="6">
        <v>918</v>
      </c>
      <c r="T935" s="4">
        <f t="shared" si="224"/>
        <v>459</v>
      </c>
      <c r="U935" s="3">
        <f t="shared" si="225"/>
        <v>-13805843.235331116</v>
      </c>
      <c r="V935" s="3">
        <f t="shared" si="226"/>
        <v>1048481.0185491389</v>
      </c>
      <c r="W935" s="3">
        <f t="shared" si="227"/>
        <v>-27892.454471806166</v>
      </c>
      <c r="X935" s="3">
        <f t="shared" si="228"/>
        <v>2295.5321973447835</v>
      </c>
      <c r="Y935" s="3">
        <f t="shared" si="229"/>
        <v>13811895.540056761</v>
      </c>
      <c r="Z935" s="3">
        <f t="shared" si="230"/>
        <v>-1039833.1408208001</v>
      </c>
      <c r="AA935" s="3">
        <f t="shared" si="231"/>
        <v>13850982.325098429</v>
      </c>
      <c r="AB935" s="3">
        <f t="shared" si="232"/>
        <v>13771895.540056761</v>
      </c>
      <c r="AC935" s="3">
        <f t="shared" si="233"/>
        <v>-1037333.1408208001</v>
      </c>
      <c r="AD935" s="3">
        <f t="shared" si="234"/>
        <v>13810907.530328356</v>
      </c>
      <c r="AE935" s="3">
        <f t="shared" si="235"/>
        <v>13786895.540056761</v>
      </c>
      <c r="AF935" s="3">
        <f t="shared" si="239"/>
        <v>-1062333.1408208001</v>
      </c>
      <c r="AG935" s="3">
        <f t="shared" si="236"/>
        <v>13827763.388723543</v>
      </c>
      <c r="AH935" s="3">
        <f t="shared" si="237"/>
        <v>6.3907046196068776E-3</v>
      </c>
      <c r="AI935" s="3">
        <f t="shared" si="238"/>
        <v>-4.8598970874089696E-4</v>
      </c>
    </row>
    <row r="936" spans="19:35" x14ac:dyDescent="0.3">
      <c r="S936" s="6">
        <v>919</v>
      </c>
      <c r="T936" s="4">
        <f t="shared" si="224"/>
        <v>459.5</v>
      </c>
      <c r="U936" s="3">
        <f t="shared" si="225"/>
        <v>-13819789.460969344</v>
      </c>
      <c r="V936" s="3">
        <f t="shared" si="226"/>
        <v>1049628.7845263139</v>
      </c>
      <c r="W936" s="3">
        <f t="shared" si="227"/>
        <v>-27889.517943033457</v>
      </c>
      <c r="X936" s="3">
        <f t="shared" si="228"/>
        <v>2295.3088850736171</v>
      </c>
      <c r="Y936" s="3">
        <f t="shared" si="229"/>
        <v>13825843.235331116</v>
      </c>
      <c r="Z936" s="3">
        <f t="shared" si="230"/>
        <v>-1040981.0185491389</v>
      </c>
      <c r="AA936" s="3">
        <f t="shared" si="231"/>
        <v>13864976.835499249</v>
      </c>
      <c r="AB936" s="3">
        <f t="shared" si="232"/>
        <v>13785843.235331116</v>
      </c>
      <c r="AC936" s="3">
        <f t="shared" si="233"/>
        <v>-1038481.0185491389</v>
      </c>
      <c r="AD936" s="3">
        <f t="shared" si="234"/>
        <v>13824902.044318851</v>
      </c>
      <c r="AE936" s="3">
        <f t="shared" si="235"/>
        <v>13800843.235331116</v>
      </c>
      <c r="AF936" s="3">
        <f t="shared" si="239"/>
        <v>-1063481.0185491389</v>
      </c>
      <c r="AG936" s="3">
        <f t="shared" si="236"/>
        <v>13841758.048853438</v>
      </c>
      <c r="AH936" s="3">
        <f t="shared" si="237"/>
        <v>6.3777924885545286E-3</v>
      </c>
      <c r="AI936" s="3">
        <f t="shared" si="238"/>
        <v>-4.8504805654497397E-4</v>
      </c>
    </row>
    <row r="937" spans="19:35" x14ac:dyDescent="0.3">
      <c r="S937" s="6">
        <v>920</v>
      </c>
      <c r="T937" s="4">
        <f t="shared" si="224"/>
        <v>460</v>
      </c>
      <c r="U937" s="3">
        <f t="shared" si="225"/>
        <v>-13833734.218346411</v>
      </c>
      <c r="V937" s="3">
        <f t="shared" si="226"/>
        <v>1050776.4388475888</v>
      </c>
      <c r="W937" s="3">
        <f t="shared" si="227"/>
        <v>-27886.584158488724</v>
      </c>
      <c r="X937" s="3">
        <f t="shared" si="228"/>
        <v>2295.0857629676066</v>
      </c>
      <c r="Y937" s="3">
        <f t="shared" si="229"/>
        <v>13839789.460969344</v>
      </c>
      <c r="Z937" s="3">
        <f t="shared" si="230"/>
        <v>-1042128.7845263139</v>
      </c>
      <c r="AA937" s="3">
        <f t="shared" si="231"/>
        <v>13878969.872706562</v>
      </c>
      <c r="AB937" s="3">
        <f t="shared" si="232"/>
        <v>13799789.460969344</v>
      </c>
      <c r="AC937" s="3">
        <f t="shared" si="233"/>
        <v>-1039628.7845263139</v>
      </c>
      <c r="AD937" s="3">
        <f t="shared" si="234"/>
        <v>13838895.085110525</v>
      </c>
      <c r="AE937" s="3">
        <f t="shared" si="235"/>
        <v>13814789.460969344</v>
      </c>
      <c r="AF937" s="3">
        <f t="shared" si="239"/>
        <v>-1064628.7845263139</v>
      </c>
      <c r="AG937" s="3">
        <f t="shared" si="236"/>
        <v>13855751.23548888</v>
      </c>
      <c r="AH937" s="3">
        <f t="shared" si="237"/>
        <v>6.3649208032366018E-3</v>
      </c>
      <c r="AI937" s="3">
        <f t="shared" si="238"/>
        <v>-4.8410923649283631E-4</v>
      </c>
    </row>
    <row r="938" spans="19:35" x14ac:dyDescent="0.3">
      <c r="S938" s="6">
        <v>921</v>
      </c>
      <c r="T938" s="4">
        <f t="shared" si="224"/>
        <v>460.5</v>
      </c>
      <c r="U938" s="3">
        <f t="shared" si="225"/>
        <v>-13847677.508834425</v>
      </c>
      <c r="V938" s="3">
        <f t="shared" si="226"/>
        <v>1051923.9816080455</v>
      </c>
      <c r="W938" s="3">
        <f t="shared" si="227"/>
        <v>-27883.653112458833</v>
      </c>
      <c r="X938" s="3">
        <f t="shared" si="228"/>
        <v>2294.8628306642017</v>
      </c>
      <c r="Y938" s="3">
        <f t="shared" si="229"/>
        <v>13853734.218346411</v>
      </c>
      <c r="Z938" s="3">
        <f t="shared" si="230"/>
        <v>-1043276.4388475888</v>
      </c>
      <c r="AA938" s="3">
        <f t="shared" si="231"/>
        <v>13892961.438096514</v>
      </c>
      <c r="AB938" s="3">
        <f t="shared" si="232"/>
        <v>13813734.218346411</v>
      </c>
      <c r="AC938" s="3">
        <f t="shared" si="233"/>
        <v>-1040776.4388475888</v>
      </c>
      <c r="AD938" s="3">
        <f t="shared" si="234"/>
        <v>13852886.654079532</v>
      </c>
      <c r="AE938" s="3">
        <f t="shared" si="235"/>
        <v>13828734.218346411</v>
      </c>
      <c r="AF938" s="3">
        <f t="shared" si="239"/>
        <v>-1065776.4388475888</v>
      </c>
      <c r="AG938" s="3">
        <f t="shared" si="236"/>
        <v>13869742.950006954</v>
      </c>
      <c r="AH938" s="3">
        <f t="shared" si="237"/>
        <v>6.3520893924745876E-3</v>
      </c>
      <c r="AI938" s="3">
        <f t="shared" si="238"/>
        <v>-4.8317323707317385E-4</v>
      </c>
    </row>
    <row r="939" spans="19:35" x14ac:dyDescent="0.3">
      <c r="S939" s="6">
        <v>922</v>
      </c>
      <c r="T939" s="4">
        <f t="shared" si="224"/>
        <v>461</v>
      </c>
      <c r="U939" s="3">
        <f t="shared" si="225"/>
        <v>-13861619.333802633</v>
      </c>
      <c r="V939" s="3">
        <f t="shared" si="226"/>
        <v>1053071.4129025843</v>
      </c>
      <c r="W939" s="3">
        <f t="shared" si="227"/>
        <v>-27880.724799248903</v>
      </c>
      <c r="X939" s="3">
        <f t="shared" si="228"/>
        <v>2294.6400878019108</v>
      </c>
      <c r="Y939" s="3">
        <f t="shared" si="229"/>
        <v>13867677.508834425</v>
      </c>
      <c r="Z939" s="3">
        <f t="shared" si="230"/>
        <v>-1044423.9816080455</v>
      </c>
      <c r="AA939" s="3">
        <f t="shared" si="231"/>
        <v>13906951.533042394</v>
      </c>
      <c r="AB939" s="3">
        <f t="shared" si="232"/>
        <v>13827677.508834425</v>
      </c>
      <c r="AC939" s="3">
        <f t="shared" si="233"/>
        <v>-1041923.9816080455</v>
      </c>
      <c r="AD939" s="3">
        <f t="shared" si="234"/>
        <v>13866876.752599172</v>
      </c>
      <c r="AE939" s="3">
        <f t="shared" si="235"/>
        <v>13842677.508834425</v>
      </c>
      <c r="AF939" s="3">
        <f t="shared" si="239"/>
        <v>-1066923.9816080455</v>
      </c>
      <c r="AG939" s="3">
        <f t="shared" si="236"/>
        <v>13883733.193781881</v>
      </c>
      <c r="AH939" s="3">
        <f t="shared" si="237"/>
        <v>6.3392980860019219E-3</v>
      </c>
      <c r="AI939" s="3">
        <f t="shared" si="238"/>
        <v>-4.8224004683355645E-4</v>
      </c>
    </row>
    <row r="940" spans="19:35" x14ac:dyDescent="0.3">
      <c r="S940" s="6">
        <v>923</v>
      </c>
      <c r="T940" s="4">
        <f t="shared" si="224"/>
        <v>461.5</v>
      </c>
      <c r="U940" s="3">
        <f t="shared" si="225"/>
        <v>-13875559.694617433</v>
      </c>
      <c r="V940" s="3">
        <f t="shared" si="226"/>
        <v>1054218.7328259253</v>
      </c>
      <c r="W940" s="3">
        <f t="shared" si="227"/>
        <v>-27877.799213182214</v>
      </c>
      <c r="X940" s="3">
        <f t="shared" si="228"/>
        <v>2294.4175340202969</v>
      </c>
      <c r="Y940" s="3">
        <f t="shared" si="229"/>
        <v>13881619.333802633</v>
      </c>
      <c r="Z940" s="3">
        <f t="shared" si="230"/>
        <v>-1045571.4129025843</v>
      </c>
      <c r="AA940" s="3">
        <f t="shared" si="231"/>
        <v>13920940.158914633</v>
      </c>
      <c r="AB940" s="3">
        <f t="shared" si="232"/>
        <v>13841619.333802633</v>
      </c>
      <c r="AC940" s="3">
        <f t="shared" si="233"/>
        <v>-1043071.4129025843</v>
      </c>
      <c r="AD940" s="3">
        <f t="shared" si="234"/>
        <v>13880865.38203989</v>
      </c>
      <c r="AE940" s="3">
        <f t="shared" si="235"/>
        <v>13856619.333802633</v>
      </c>
      <c r="AF940" s="3">
        <f t="shared" si="239"/>
        <v>-1068071.4129025843</v>
      </c>
      <c r="AG940" s="3">
        <f t="shared" si="236"/>
        <v>13897721.968185026</v>
      </c>
      <c r="AH940" s="3">
        <f t="shared" si="237"/>
        <v>6.3265467144577748E-3</v>
      </c>
      <c r="AI940" s="3">
        <f t="shared" si="238"/>
        <v>-4.8130965438004339E-4</v>
      </c>
    </row>
    <row r="941" spans="19:35" x14ac:dyDescent="0.3">
      <c r="S941" s="6">
        <v>924</v>
      </c>
      <c r="T941" s="4">
        <f t="shared" si="224"/>
        <v>462</v>
      </c>
      <c r="U941" s="3">
        <f t="shared" si="225"/>
        <v>-13889498.592642387</v>
      </c>
      <c r="V941" s="3">
        <f t="shared" si="226"/>
        <v>1055365.9414726081</v>
      </c>
      <c r="W941" s="3">
        <f t="shared" si="227"/>
        <v>-27874.876348600133</v>
      </c>
      <c r="X941" s="3">
        <f t="shared" si="228"/>
        <v>2294.1951689599732</v>
      </c>
      <c r="Y941" s="3">
        <f t="shared" si="229"/>
        <v>13895559.694617433</v>
      </c>
      <c r="Z941" s="3">
        <f t="shared" si="230"/>
        <v>-1046718.7328259253</v>
      </c>
      <c r="AA941" s="3">
        <f t="shared" si="231"/>
        <v>13934927.31708082</v>
      </c>
      <c r="AB941" s="3">
        <f t="shared" si="232"/>
        <v>13855559.694617433</v>
      </c>
      <c r="AC941" s="3">
        <f t="shared" si="233"/>
        <v>-1044218.7328259253</v>
      </c>
      <c r="AD941" s="3">
        <f t="shared" si="234"/>
        <v>13894852.543769285</v>
      </c>
      <c r="AE941" s="3">
        <f t="shared" si="235"/>
        <v>13870559.694617433</v>
      </c>
      <c r="AF941" s="3">
        <f t="shared" si="239"/>
        <v>-1069218.7328259253</v>
      </c>
      <c r="AG941" s="3">
        <f t="shared" si="236"/>
        <v>13911709.274584901</v>
      </c>
      <c r="AH941" s="3">
        <f t="shared" si="237"/>
        <v>6.313835109381714E-3</v>
      </c>
      <c r="AI941" s="3">
        <f t="shared" si="238"/>
        <v>-4.8038204837686047E-4</v>
      </c>
    </row>
    <row r="942" spans="19:35" x14ac:dyDescent="0.3">
      <c r="S942" s="6">
        <v>925</v>
      </c>
      <c r="T942" s="4">
        <f t="shared" si="224"/>
        <v>462.5</v>
      </c>
      <c r="U942" s="3">
        <f t="shared" si="225"/>
        <v>-13903436.029238228</v>
      </c>
      <c r="V942" s="3">
        <f t="shared" si="226"/>
        <v>1056513.0389369926</v>
      </c>
      <c r="W942" s="3">
        <f t="shared" si="227"/>
        <v>-27871.956199862045</v>
      </c>
      <c r="X942" s="3">
        <f t="shared" si="228"/>
        <v>2293.9729922625988</v>
      </c>
      <c r="Y942" s="3">
        <f t="shared" si="229"/>
        <v>13909498.592642387</v>
      </c>
      <c r="Z942" s="3">
        <f t="shared" si="230"/>
        <v>-1047865.9414726081</v>
      </c>
      <c r="AA942" s="3">
        <f t="shared" si="231"/>
        <v>13948913.008905707</v>
      </c>
      <c r="AB942" s="3">
        <f t="shared" si="232"/>
        <v>13869498.592642387</v>
      </c>
      <c r="AC942" s="3">
        <f t="shared" si="233"/>
        <v>-1045365.9414726081</v>
      </c>
      <c r="AD942" s="3">
        <f t="shared" si="234"/>
        <v>13908838.239152113</v>
      </c>
      <c r="AE942" s="3">
        <f t="shared" si="235"/>
        <v>13884498.592642387</v>
      </c>
      <c r="AF942" s="3">
        <f t="shared" si="239"/>
        <v>-1070365.9414726081</v>
      </c>
      <c r="AG942" s="3">
        <f t="shared" si="236"/>
        <v>13925695.114347182</v>
      </c>
      <c r="AH942" s="3">
        <f t="shared" si="237"/>
        <v>6.3011631032073353E-3</v>
      </c>
      <c r="AI942" s="3">
        <f t="shared" si="238"/>
        <v>-4.794572175459953E-4</v>
      </c>
    </row>
    <row r="943" spans="19:35" x14ac:dyDescent="0.3">
      <c r="S943" s="6">
        <v>926</v>
      </c>
      <c r="T943" s="4">
        <f t="shared" si="224"/>
        <v>463</v>
      </c>
      <c r="U943" s="3">
        <f t="shared" si="225"/>
        <v>-13917372.005762868</v>
      </c>
      <c r="V943" s="3">
        <f t="shared" si="226"/>
        <v>1057660.0253132598</v>
      </c>
      <c r="W943" s="3">
        <f t="shared" si="227"/>
        <v>-27869.038761345259</v>
      </c>
      <c r="X943" s="3">
        <f t="shared" si="228"/>
        <v>2293.7510035708751</v>
      </c>
      <c r="Y943" s="3">
        <f t="shared" si="229"/>
        <v>13923436.029238228</v>
      </c>
      <c r="Z943" s="3">
        <f t="shared" si="230"/>
        <v>-1049013.0389369926</v>
      </c>
      <c r="AA943" s="3">
        <f t="shared" si="231"/>
        <v>13962897.235751217</v>
      </c>
      <c r="AB943" s="3">
        <f t="shared" si="232"/>
        <v>13883436.029238228</v>
      </c>
      <c r="AC943" s="3">
        <f t="shared" si="233"/>
        <v>-1046513.0389369926</v>
      </c>
      <c r="AD943" s="3">
        <f t="shared" si="234"/>
        <v>13922822.469550319</v>
      </c>
      <c r="AE943" s="3">
        <f t="shared" si="235"/>
        <v>13898436.029238228</v>
      </c>
      <c r="AF943" s="3">
        <f t="shared" si="239"/>
        <v>-1071513.0389369926</v>
      </c>
      <c r="AG943" s="3">
        <f t="shared" si="236"/>
        <v>13939679.488834716</v>
      </c>
      <c r="AH943" s="3">
        <f t="shared" si="237"/>
        <v>6.2885305292573173E-3</v>
      </c>
      <c r="AI943" s="3">
        <f t="shared" si="238"/>
        <v>-4.7853515066690244E-4</v>
      </c>
    </row>
    <row r="944" spans="19:35" x14ac:dyDescent="0.3">
      <c r="S944" s="6">
        <v>927</v>
      </c>
      <c r="T944" s="4">
        <f t="shared" si="224"/>
        <v>463.5</v>
      </c>
      <c r="U944" s="3">
        <f t="shared" si="225"/>
        <v>-13931306.523571407</v>
      </c>
      <c r="V944" s="3">
        <f t="shared" si="226"/>
        <v>1058806.9006954115</v>
      </c>
      <c r="W944" s="3">
        <f t="shared" si="227"/>
        <v>-27866.124027444948</v>
      </c>
      <c r="X944" s="3">
        <f t="shared" si="228"/>
        <v>2293.5292025285412</v>
      </c>
      <c r="Y944" s="3">
        <f t="shared" si="229"/>
        <v>13937372.005762868</v>
      </c>
      <c r="Z944" s="3">
        <f t="shared" si="230"/>
        <v>-1050160.0253132598</v>
      </c>
      <c r="AA944" s="3">
        <f t="shared" si="231"/>
        <v>13976879.998976467</v>
      </c>
      <c r="AB944" s="3">
        <f t="shared" si="232"/>
        <v>13897372.005762868</v>
      </c>
      <c r="AC944" s="3">
        <f t="shared" si="233"/>
        <v>-1047660.0253132598</v>
      </c>
      <c r="AD944" s="3">
        <f t="shared" si="234"/>
        <v>13936805.236323021</v>
      </c>
      <c r="AE944" s="3">
        <f t="shared" si="235"/>
        <v>13912372.005762868</v>
      </c>
      <c r="AF944" s="3">
        <f t="shared" si="239"/>
        <v>-1072660.0253132598</v>
      </c>
      <c r="AG944" s="3">
        <f t="shared" si="236"/>
        <v>13953662.399407525</v>
      </c>
      <c r="AH944" s="3">
        <f t="shared" si="237"/>
        <v>6.2759372217369332E-3</v>
      </c>
      <c r="AI944" s="3">
        <f t="shared" si="238"/>
        <v>-4.7761583657608919E-4</v>
      </c>
    </row>
    <row r="945" spans="19:35" x14ac:dyDescent="0.3">
      <c r="S945" s="6">
        <v>928</v>
      </c>
      <c r="T945" s="4">
        <f t="shared" si="224"/>
        <v>464</v>
      </c>
      <c r="U945" s="3">
        <f t="shared" si="225"/>
        <v>-13945239.584016146</v>
      </c>
      <c r="V945" s="3">
        <f t="shared" si="226"/>
        <v>1059953.6651772719</v>
      </c>
      <c r="W945" s="3">
        <f t="shared" si="227"/>
        <v>-27863.211992574063</v>
      </c>
      <c r="X945" s="3">
        <f t="shared" si="228"/>
        <v>2293.3075887803698</v>
      </c>
      <c r="Y945" s="3">
        <f t="shared" si="229"/>
        <v>13951306.523571407</v>
      </c>
      <c r="Z945" s="3">
        <f t="shared" si="230"/>
        <v>-1051306.9006954115</v>
      </c>
      <c r="AA945" s="3">
        <f t="shared" si="231"/>
        <v>13990861.299937753</v>
      </c>
      <c r="AB945" s="3">
        <f t="shared" si="232"/>
        <v>13911306.523571407</v>
      </c>
      <c r="AC945" s="3">
        <f t="shared" si="233"/>
        <v>-1048806.9006954115</v>
      </c>
      <c r="AD945" s="3">
        <f t="shared" si="234"/>
        <v>13950786.540826533</v>
      </c>
      <c r="AE945" s="3">
        <f t="shared" si="235"/>
        <v>13926306.523571407</v>
      </c>
      <c r="AF945" s="3">
        <f t="shared" si="239"/>
        <v>-1073806.9006954115</v>
      </c>
      <c r="AG945" s="3">
        <f t="shared" si="236"/>
        <v>13967643.847422823</v>
      </c>
      <c r="AH945" s="3">
        <f t="shared" si="237"/>
        <v>6.2633830157289979E-3</v>
      </c>
      <c r="AI945" s="3">
        <f t="shared" si="238"/>
        <v>-4.7669926416681009E-4</v>
      </c>
    </row>
    <row r="946" spans="19:35" x14ac:dyDescent="0.3">
      <c r="S946" s="6">
        <v>929</v>
      </c>
      <c r="T946" s="4">
        <f t="shared" si="224"/>
        <v>464.5</v>
      </c>
      <c r="U946" s="3">
        <f t="shared" si="225"/>
        <v>-13959171.188446587</v>
      </c>
      <c r="V946" s="3">
        <f t="shared" si="226"/>
        <v>1061100.3188524873</v>
      </c>
      <c r="W946" s="3">
        <f t="shared" si="227"/>
        <v>-27860.302651163256</v>
      </c>
      <c r="X946" s="3">
        <f t="shared" si="228"/>
        <v>2293.0861619721641</v>
      </c>
      <c r="Y946" s="3">
        <f t="shared" si="229"/>
        <v>13965239.584016146</v>
      </c>
      <c r="Z946" s="3">
        <f t="shared" si="230"/>
        <v>-1052453.6651772719</v>
      </c>
      <c r="AA946" s="3">
        <f t="shared" si="231"/>
        <v>14004841.139988577</v>
      </c>
      <c r="AB946" s="3">
        <f t="shared" si="232"/>
        <v>13925239.584016146</v>
      </c>
      <c r="AC946" s="3">
        <f t="shared" si="233"/>
        <v>-1049953.6651772719</v>
      </c>
      <c r="AD946" s="3">
        <f t="shared" si="234"/>
        <v>13964766.384414362</v>
      </c>
      <c r="AE946" s="3">
        <f t="shared" si="235"/>
        <v>13940239.584016146</v>
      </c>
      <c r="AF946" s="3">
        <f t="shared" si="239"/>
        <v>-1074953.6651772719</v>
      </c>
      <c r="AG946" s="3">
        <f t="shared" si="236"/>
        <v>13981623.834235018</v>
      </c>
      <c r="AH946" s="3">
        <f t="shared" si="237"/>
        <v>6.2508677471880313E-3</v>
      </c>
      <c r="AI946" s="3">
        <f t="shared" si="238"/>
        <v>-4.7578542238870208E-4</v>
      </c>
    </row>
    <row r="947" spans="19:35" x14ac:dyDescent="0.3">
      <c r="S947" s="6">
        <v>930</v>
      </c>
      <c r="T947" s="4">
        <f t="shared" si="224"/>
        <v>465</v>
      </c>
      <c r="U947" s="3">
        <f t="shared" si="225"/>
        <v>-13973101.338209452</v>
      </c>
      <c r="V947" s="3">
        <f t="shared" si="226"/>
        <v>1062246.8618145268</v>
      </c>
      <c r="W947" s="3">
        <f t="shared" si="227"/>
        <v>-27857.395997660813</v>
      </c>
      <c r="X947" s="3">
        <f t="shared" si="228"/>
        <v>2292.8649217507532</v>
      </c>
      <c r="Y947" s="3">
        <f t="shared" si="229"/>
        <v>13979171.188446587</v>
      </c>
      <c r="Z947" s="3">
        <f t="shared" si="230"/>
        <v>-1053600.3188524873</v>
      </c>
      <c r="AA947" s="3">
        <f t="shared" si="231"/>
        <v>14018819.520479647</v>
      </c>
      <c r="AB947" s="3">
        <f t="shared" si="232"/>
        <v>13939171.188446587</v>
      </c>
      <c r="AC947" s="3">
        <f t="shared" si="233"/>
        <v>-1051100.3188524873</v>
      </c>
      <c r="AD947" s="3">
        <f t="shared" si="234"/>
        <v>13978744.768437231</v>
      </c>
      <c r="AE947" s="3">
        <f t="shared" si="235"/>
        <v>13954171.188446587</v>
      </c>
      <c r="AF947" s="3">
        <f t="shared" si="239"/>
        <v>-1076100.3188524873</v>
      </c>
      <c r="AG947" s="3">
        <f t="shared" si="236"/>
        <v>13995602.361195723</v>
      </c>
      <c r="AH947" s="3">
        <f t="shared" si="237"/>
        <v>6.2383912529347307E-3</v>
      </c>
      <c r="AI947" s="3">
        <f t="shared" si="238"/>
        <v>-4.7487430024744065E-4</v>
      </c>
    </row>
    <row r="948" spans="19:35" x14ac:dyDescent="0.3">
      <c r="S948" s="6">
        <v>931</v>
      </c>
      <c r="T948" s="4">
        <f t="shared" si="224"/>
        <v>465.5</v>
      </c>
      <c r="U948" s="3">
        <f t="shared" si="225"/>
        <v>-13987030.034648685</v>
      </c>
      <c r="V948" s="3">
        <f t="shared" si="226"/>
        <v>1063393.2941566838</v>
      </c>
      <c r="W948" s="3">
        <f t="shared" si="227"/>
        <v>-27854.492026532571</v>
      </c>
      <c r="X948" s="3">
        <f t="shared" si="228"/>
        <v>2292.6438677639881</v>
      </c>
      <c r="Y948" s="3">
        <f t="shared" si="229"/>
        <v>13993101.338209452</v>
      </c>
      <c r="Z948" s="3">
        <f t="shared" si="230"/>
        <v>-1054746.8618145268</v>
      </c>
      <c r="AA948" s="3">
        <f t="shared" si="231"/>
        <v>14032796.442758897</v>
      </c>
      <c r="AB948" s="3">
        <f t="shared" si="232"/>
        <v>13953101.338209452</v>
      </c>
      <c r="AC948" s="3">
        <f t="shared" si="233"/>
        <v>-1052246.8618145268</v>
      </c>
      <c r="AD948" s="3">
        <f t="shared" si="234"/>
        <v>13992721.694243081</v>
      </c>
      <c r="AE948" s="3">
        <f t="shared" si="235"/>
        <v>13968101.338209452</v>
      </c>
      <c r="AF948" s="3">
        <f t="shared" si="239"/>
        <v>-1077246.8618145268</v>
      </c>
      <c r="AG948" s="3">
        <f t="shared" si="236"/>
        <v>14009579.429653766</v>
      </c>
      <c r="AH948" s="3">
        <f t="shared" si="237"/>
        <v>6.2259533706504992E-3</v>
      </c>
      <c r="AI948" s="3">
        <f t="shared" si="238"/>
        <v>-4.7396588680440098E-4</v>
      </c>
    </row>
    <row r="949" spans="19:35" x14ac:dyDescent="0.3">
      <c r="S949" s="6">
        <v>932</v>
      </c>
      <c r="T949" s="4">
        <f t="shared" si="224"/>
        <v>466</v>
      </c>
      <c r="U949" s="3">
        <f t="shared" si="225"/>
        <v>-14000957.279105464</v>
      </c>
      <c r="V949" s="3">
        <f t="shared" si="226"/>
        <v>1064539.6159720744</v>
      </c>
      <c r="W949" s="3">
        <f t="shared" si="227"/>
        <v>-27851.590732261848</v>
      </c>
      <c r="X949" s="3">
        <f t="shared" si="228"/>
        <v>2292.4229996607373</v>
      </c>
      <c r="Y949" s="3">
        <f t="shared" si="229"/>
        <v>14007030.034648685</v>
      </c>
      <c r="Z949" s="3">
        <f t="shared" si="230"/>
        <v>-1055893.2941566838</v>
      </c>
      <c r="AA949" s="3">
        <f t="shared" si="231"/>
        <v>14046771.908171479</v>
      </c>
      <c r="AB949" s="3">
        <f t="shared" si="232"/>
        <v>13967030.034648685</v>
      </c>
      <c r="AC949" s="3">
        <f t="shared" si="233"/>
        <v>-1053393.2941566838</v>
      </c>
      <c r="AD949" s="3">
        <f t="shared" si="234"/>
        <v>14006697.163177075</v>
      </c>
      <c r="AE949" s="3">
        <f t="shared" si="235"/>
        <v>13982030.034648685</v>
      </c>
      <c r="AF949" s="3">
        <f t="shared" si="239"/>
        <v>-1078393.2941566838</v>
      </c>
      <c r="AG949" s="3">
        <f t="shared" si="236"/>
        <v>14023555.040955201</v>
      </c>
      <c r="AH949" s="3">
        <f t="shared" si="237"/>
        <v>6.2135539388719465E-3</v>
      </c>
      <c r="AI949" s="3">
        <f t="shared" si="238"/>
        <v>-4.7306017117631631E-4</v>
      </c>
    </row>
    <row r="950" spans="19:35" x14ac:dyDescent="0.3">
      <c r="S950" s="6">
        <v>933</v>
      </c>
      <c r="T950" s="4">
        <f t="shared" si="224"/>
        <v>466.5</v>
      </c>
      <c r="U950" s="3">
        <f t="shared" si="225"/>
        <v>-14014883.072918206</v>
      </c>
      <c r="V950" s="3">
        <f t="shared" si="226"/>
        <v>1065685.82735364</v>
      </c>
      <c r="W950" s="3">
        <f t="shared" si="227"/>
        <v>-27848.692109349366</v>
      </c>
      <c r="X950" s="3">
        <f t="shared" si="228"/>
        <v>2292.2023170908838</v>
      </c>
      <c r="Y950" s="3">
        <f t="shared" si="229"/>
        <v>14020957.279105464</v>
      </c>
      <c r="Z950" s="3">
        <f t="shared" si="230"/>
        <v>-1057039.6159720744</v>
      </c>
      <c r="AA950" s="3">
        <f t="shared" si="231"/>
        <v>14060745.918059783</v>
      </c>
      <c r="AB950" s="3">
        <f t="shared" si="232"/>
        <v>13980957.279105464</v>
      </c>
      <c r="AC950" s="3">
        <f t="shared" si="233"/>
        <v>-1054539.6159720744</v>
      </c>
      <c r="AD950" s="3">
        <f t="shared" si="234"/>
        <v>14020671.176581619</v>
      </c>
      <c r="AE950" s="3">
        <f t="shared" si="235"/>
        <v>13995957.279105464</v>
      </c>
      <c r="AF950" s="3">
        <f t="shared" si="239"/>
        <v>-1079539.6159720744</v>
      </c>
      <c r="AG950" s="3">
        <f t="shared" si="236"/>
        <v>14037529.19644331</v>
      </c>
      <c r="AH950" s="3">
        <f t="shared" si="237"/>
        <v>6.2011927969854632E-3</v>
      </c>
      <c r="AI950" s="3">
        <f t="shared" si="238"/>
        <v>-4.7215714253494019E-4</v>
      </c>
    </row>
    <row r="951" spans="19:35" x14ac:dyDescent="0.3">
      <c r="S951" s="6">
        <v>934</v>
      </c>
      <c r="T951" s="4">
        <f t="shared" si="224"/>
        <v>467</v>
      </c>
      <c r="U951" s="3">
        <f t="shared" si="225"/>
        <v>-14028807.417422583</v>
      </c>
      <c r="V951" s="3">
        <f t="shared" si="226"/>
        <v>1066831.928394146</v>
      </c>
      <c r="W951" s="3">
        <f t="shared" si="227"/>
        <v>-27845.796152313174</v>
      </c>
      <c r="X951" s="3">
        <f t="shared" si="228"/>
        <v>2291.98181970532</v>
      </c>
      <c r="Y951" s="3">
        <f t="shared" si="229"/>
        <v>14034883.072918206</v>
      </c>
      <c r="Z951" s="3">
        <f t="shared" si="230"/>
        <v>-1058185.82735364</v>
      </c>
      <c r="AA951" s="3">
        <f t="shared" si="231"/>
        <v>14074718.473763449</v>
      </c>
      <c r="AB951" s="3">
        <f t="shared" si="232"/>
        <v>13994883.072918206</v>
      </c>
      <c r="AC951" s="3">
        <f t="shared" si="233"/>
        <v>-1055685.82735364</v>
      </c>
      <c r="AD951" s="3">
        <f t="shared" si="234"/>
        <v>14034643.735796355</v>
      </c>
      <c r="AE951" s="3">
        <f t="shared" si="235"/>
        <v>14009883.072918206</v>
      </c>
      <c r="AF951" s="3">
        <f t="shared" si="239"/>
        <v>-1080685.82735364</v>
      </c>
      <c r="AG951" s="3">
        <f t="shared" si="236"/>
        <v>14051501.897458617</v>
      </c>
      <c r="AH951" s="3">
        <f t="shared" si="237"/>
        <v>6.1888697852218958E-3</v>
      </c>
      <c r="AI951" s="3">
        <f t="shared" si="238"/>
        <v>-4.7125679010671636E-4</v>
      </c>
    </row>
    <row r="952" spans="19:35" x14ac:dyDescent="0.3">
      <c r="S952" s="6">
        <v>935</v>
      </c>
      <c r="T952" s="4">
        <f t="shared" si="224"/>
        <v>467.5</v>
      </c>
      <c r="U952" s="3">
        <f t="shared" si="225"/>
        <v>-14042730.313951522</v>
      </c>
      <c r="V952" s="3">
        <f t="shared" si="226"/>
        <v>1067977.9191861844</v>
      </c>
      <c r="W952" s="3">
        <f t="shared" si="227"/>
        <v>-27842.902855688582</v>
      </c>
      <c r="X952" s="3">
        <f t="shared" si="228"/>
        <v>2291.7615071559453</v>
      </c>
      <c r="Y952" s="3">
        <f t="shared" si="229"/>
        <v>14048807.417422583</v>
      </c>
      <c r="Z952" s="3">
        <f t="shared" si="230"/>
        <v>-1059331.928394146</v>
      </c>
      <c r="AA952" s="3">
        <f t="shared" si="231"/>
        <v>14088689.576619361</v>
      </c>
      <c r="AB952" s="3">
        <f t="shared" si="232"/>
        <v>14008807.417422583</v>
      </c>
      <c r="AC952" s="3">
        <f t="shared" si="233"/>
        <v>-1056831.928394146</v>
      </c>
      <c r="AD952" s="3">
        <f t="shared" si="234"/>
        <v>14048614.842158187</v>
      </c>
      <c r="AE952" s="3">
        <f t="shared" si="235"/>
        <v>14023807.417422583</v>
      </c>
      <c r="AF952" s="3">
        <f t="shared" si="239"/>
        <v>-1081831.928394146</v>
      </c>
      <c r="AG952" s="3">
        <f t="shared" si="236"/>
        <v>14065473.145338897</v>
      </c>
      <c r="AH952" s="3">
        <f t="shared" si="237"/>
        <v>6.176584744651081E-3</v>
      </c>
      <c r="AI952" s="3">
        <f t="shared" si="238"/>
        <v>-4.7035910317243772E-4</v>
      </c>
    </row>
    <row r="953" spans="19:35" x14ac:dyDescent="0.3">
      <c r="S953" s="6">
        <v>936</v>
      </c>
      <c r="T953" s="4">
        <f t="shared" si="224"/>
        <v>468</v>
      </c>
      <c r="U953" s="3">
        <f t="shared" si="225"/>
        <v>-14056651.76383522</v>
      </c>
      <c r="V953" s="3">
        <f t="shared" si="226"/>
        <v>1069123.7998221726</v>
      </c>
      <c r="W953" s="3">
        <f t="shared" si="227"/>
        <v>-27840.012214028087</v>
      </c>
      <c r="X953" s="3">
        <f t="shared" si="228"/>
        <v>2291.5413790956604</v>
      </c>
      <c r="Y953" s="3">
        <f t="shared" si="229"/>
        <v>14062730.313951522</v>
      </c>
      <c r="Z953" s="3">
        <f t="shared" si="230"/>
        <v>-1060477.9191861844</v>
      </c>
      <c r="AA953" s="3">
        <f t="shared" si="231"/>
        <v>14102659.227961672</v>
      </c>
      <c r="AB953" s="3">
        <f t="shared" si="232"/>
        <v>14022730.313951522</v>
      </c>
      <c r="AC953" s="3">
        <f t="shared" si="233"/>
        <v>-1057977.9191861844</v>
      </c>
      <c r="AD953" s="3">
        <f t="shared" si="234"/>
        <v>14062584.497001272</v>
      </c>
      <c r="AE953" s="3">
        <f t="shared" si="235"/>
        <v>14037730.313951522</v>
      </c>
      <c r="AF953" s="3">
        <f t="shared" si="239"/>
        <v>-1082977.9191861844</v>
      </c>
      <c r="AG953" s="3">
        <f t="shared" si="236"/>
        <v>14079442.941419179</v>
      </c>
      <c r="AH953" s="3">
        <f t="shared" si="237"/>
        <v>6.164337517176573E-3</v>
      </c>
      <c r="AI953" s="3">
        <f t="shared" si="238"/>
        <v>-4.6946407106691895E-4</v>
      </c>
    </row>
    <row r="954" spans="19:35" x14ac:dyDescent="0.3">
      <c r="S954" s="6">
        <v>937</v>
      </c>
      <c r="T954" s="4">
        <f t="shared" si="224"/>
        <v>468.5</v>
      </c>
      <c r="U954" s="3">
        <f t="shared" si="225"/>
        <v>-14070571.76840115</v>
      </c>
      <c r="V954" s="3">
        <f t="shared" si="226"/>
        <v>1070269.5703943544</v>
      </c>
      <c r="W954" s="3">
        <f t="shared" si="227"/>
        <v>-27837.124221901289</v>
      </c>
      <c r="X954" s="3">
        <f t="shared" si="228"/>
        <v>2291.3214351783654</v>
      </c>
      <c r="Y954" s="3">
        <f t="shared" si="229"/>
        <v>14076651.76383522</v>
      </c>
      <c r="Z954" s="3">
        <f t="shared" si="230"/>
        <v>-1061623.7998221726</v>
      </c>
      <c r="AA954" s="3">
        <f t="shared" si="231"/>
        <v>14116627.429121803</v>
      </c>
      <c r="AB954" s="3">
        <f t="shared" si="232"/>
        <v>14036651.76383522</v>
      </c>
      <c r="AC954" s="3">
        <f t="shared" si="233"/>
        <v>-1059123.7998221726</v>
      </c>
      <c r="AD954" s="3">
        <f t="shared" si="234"/>
        <v>14076552.70165704</v>
      </c>
      <c r="AE954" s="3">
        <f t="shared" si="235"/>
        <v>14051651.76383522</v>
      </c>
      <c r="AF954" s="3">
        <f t="shared" si="239"/>
        <v>-1084123.7998221726</v>
      </c>
      <c r="AG954" s="3">
        <f t="shared" si="236"/>
        <v>14093411.287031764</v>
      </c>
      <c r="AH954" s="3">
        <f t="shared" si="237"/>
        <v>6.1521279455305014E-3</v>
      </c>
      <c r="AI954" s="3">
        <f t="shared" si="238"/>
        <v>-4.6857168317867757E-4</v>
      </c>
    </row>
    <row r="955" spans="19:35" x14ac:dyDescent="0.3">
      <c r="S955" s="6">
        <v>938</v>
      </c>
      <c r="T955" s="4">
        <f t="shared" si="224"/>
        <v>469</v>
      </c>
      <c r="U955" s="3">
        <f t="shared" si="225"/>
        <v>-14084490.328974068</v>
      </c>
      <c r="V955" s="3">
        <f t="shared" si="226"/>
        <v>1071415.2309948006</v>
      </c>
      <c r="W955" s="3">
        <f t="shared" si="227"/>
        <v>-27834.238873894836</v>
      </c>
      <c r="X955" s="3">
        <f t="shared" si="228"/>
        <v>2291.1016750589547</v>
      </c>
      <c r="Y955" s="3">
        <f t="shared" si="229"/>
        <v>14090571.76840115</v>
      </c>
      <c r="Z955" s="3">
        <f t="shared" si="230"/>
        <v>-1062769.5703943544</v>
      </c>
      <c r="AA955" s="3">
        <f t="shared" si="231"/>
        <v>14130594.181428455</v>
      </c>
      <c r="AB955" s="3">
        <f t="shared" si="232"/>
        <v>14050571.76840115</v>
      </c>
      <c r="AC955" s="3">
        <f t="shared" si="233"/>
        <v>-1060269.5703943544</v>
      </c>
      <c r="AD955" s="3">
        <f t="shared" si="234"/>
        <v>14090519.457454208</v>
      </c>
      <c r="AE955" s="3">
        <f t="shared" si="235"/>
        <v>14065571.76840115</v>
      </c>
      <c r="AF955" s="3">
        <f t="shared" si="239"/>
        <v>-1085269.5703943544</v>
      </c>
      <c r="AG955" s="3">
        <f t="shared" si="236"/>
        <v>14107378.183506224</v>
      </c>
      <c r="AH955" s="3">
        <f t="shared" si="237"/>
        <v>6.139955873268212E-3</v>
      </c>
      <c r="AI955" s="3">
        <f t="shared" si="238"/>
        <v>-4.6768192894959933E-4</v>
      </c>
    </row>
    <row r="956" spans="19:35" x14ac:dyDescent="0.3">
      <c r="S956" s="6">
        <v>939</v>
      </c>
      <c r="T956" s="4">
        <f t="shared" si="224"/>
        <v>469.5</v>
      </c>
      <c r="U956" s="3">
        <f t="shared" si="225"/>
        <v>-14098407.446876027</v>
      </c>
      <c r="V956" s="3">
        <f t="shared" si="226"/>
        <v>1072560.7817154096</v>
      </c>
      <c r="W956" s="3">
        <f t="shared" si="227"/>
        <v>-27831.356164612338</v>
      </c>
      <c r="X956" s="3">
        <f t="shared" si="228"/>
        <v>2290.8820983933128</v>
      </c>
      <c r="Y956" s="3">
        <f t="shared" si="229"/>
        <v>14104490.328974068</v>
      </c>
      <c r="Z956" s="3">
        <f t="shared" si="230"/>
        <v>-1063915.2309948006</v>
      </c>
      <c r="AA956" s="3">
        <f t="shared" si="231"/>
        <v>14144559.486207612</v>
      </c>
      <c r="AB956" s="3">
        <f t="shared" si="232"/>
        <v>14064490.328974068</v>
      </c>
      <c r="AC956" s="3">
        <f t="shared" si="233"/>
        <v>-1061415.2309948006</v>
      </c>
      <c r="AD956" s="3">
        <f t="shared" si="234"/>
        <v>14104484.765718769</v>
      </c>
      <c r="AE956" s="3">
        <f t="shared" si="235"/>
        <v>14079490.328974068</v>
      </c>
      <c r="AF956" s="3">
        <f t="shared" si="239"/>
        <v>-1086415.2309948006</v>
      </c>
      <c r="AG956" s="3">
        <f t="shared" si="236"/>
        <v>14121343.63216942</v>
      </c>
      <c r="AH956" s="3">
        <f t="shared" si="237"/>
        <v>6.1278211447630057E-3</v>
      </c>
      <c r="AI956" s="3">
        <f t="shared" si="238"/>
        <v>-4.6679479787460962E-4</v>
      </c>
    </row>
    <row r="957" spans="19:35" x14ac:dyDescent="0.3">
      <c r="S957" s="6">
        <v>940</v>
      </c>
      <c r="T957" s="4">
        <f t="shared" si="224"/>
        <v>470</v>
      </c>
      <c r="U957" s="3">
        <f t="shared" si="225"/>
        <v>-14112323.123426378</v>
      </c>
      <c r="V957" s="3">
        <f t="shared" si="226"/>
        <v>1073706.2226479077</v>
      </c>
      <c r="W957" s="3">
        <f t="shared" si="227"/>
        <v>-27828.476088674299</v>
      </c>
      <c r="X957" s="3">
        <f t="shared" si="228"/>
        <v>2290.6627048383116</v>
      </c>
      <c r="Y957" s="3">
        <f t="shared" si="229"/>
        <v>14118407.446876027</v>
      </c>
      <c r="Z957" s="3">
        <f t="shared" si="230"/>
        <v>-1065060.7817154096</v>
      </c>
      <c r="AA957" s="3">
        <f t="shared" si="231"/>
        <v>14158523.344782559</v>
      </c>
      <c r="AB957" s="3">
        <f t="shared" si="232"/>
        <v>14078407.446876027</v>
      </c>
      <c r="AC957" s="3">
        <f t="shared" si="233"/>
        <v>-1062560.7817154096</v>
      </c>
      <c r="AD957" s="3">
        <f t="shared" si="234"/>
        <v>14118448.627774017</v>
      </c>
      <c r="AE957" s="3">
        <f t="shared" si="235"/>
        <v>14093407.446876027</v>
      </c>
      <c r="AF957" s="3">
        <f t="shared" si="239"/>
        <v>-1087560.7817154096</v>
      </c>
      <c r="AG957" s="3">
        <f t="shared" si="236"/>
        <v>14135307.634345498</v>
      </c>
      <c r="AH957" s="3">
        <f t="shared" si="237"/>
        <v>6.1157236052012051E-3</v>
      </c>
      <c r="AI957" s="3">
        <f t="shared" si="238"/>
        <v>-4.6591027950136892E-4</v>
      </c>
    </row>
    <row r="958" spans="19:35" x14ac:dyDescent="0.3">
      <c r="S958" s="6">
        <v>941</v>
      </c>
      <c r="T958" s="4">
        <f t="shared" si="224"/>
        <v>470.5</v>
      </c>
      <c r="U958" s="3">
        <f t="shared" si="225"/>
        <v>-14126237.359941782</v>
      </c>
      <c r="V958" s="3">
        <f t="shared" si="226"/>
        <v>1074851.5538838494</v>
      </c>
      <c r="W958" s="3">
        <f t="shared" si="227"/>
        <v>-27825.59864071805</v>
      </c>
      <c r="X958" s="3">
        <f t="shared" si="228"/>
        <v>2290.4434940518063</v>
      </c>
      <c r="Y958" s="3">
        <f t="shared" si="229"/>
        <v>14132323.123426378</v>
      </c>
      <c r="Z958" s="3">
        <f t="shared" si="230"/>
        <v>-1066206.2226479077</v>
      </c>
      <c r="AA958" s="3">
        <f t="shared" si="231"/>
        <v>14172485.758473882</v>
      </c>
      <c r="AB958" s="3">
        <f t="shared" si="232"/>
        <v>14092323.123426378</v>
      </c>
      <c r="AC958" s="3">
        <f t="shared" si="233"/>
        <v>-1063706.2226479077</v>
      </c>
      <c r="AD958" s="3">
        <f t="shared" si="234"/>
        <v>14132411.04494055</v>
      </c>
      <c r="AE958" s="3">
        <f t="shared" si="235"/>
        <v>14107323.123426378</v>
      </c>
      <c r="AF958" s="3">
        <f t="shared" si="239"/>
        <v>-1088706.2226479077</v>
      </c>
      <c r="AG958" s="3">
        <f t="shared" si="236"/>
        <v>14149270.191355908</v>
      </c>
      <c r="AH958" s="3">
        <f t="shared" si="237"/>
        <v>6.1036631005768009E-3</v>
      </c>
      <c r="AI958" s="3">
        <f t="shared" si="238"/>
        <v>-4.6502836342993657E-4</v>
      </c>
    </row>
    <row r="959" spans="19:35" x14ac:dyDescent="0.3">
      <c r="S959" s="6">
        <v>942</v>
      </c>
      <c r="T959" s="4">
        <f t="shared" si="224"/>
        <v>471</v>
      </c>
      <c r="U959" s="3">
        <f t="shared" si="225"/>
        <v>-14140150.157736225</v>
      </c>
      <c r="V959" s="3">
        <f t="shared" si="226"/>
        <v>1075996.7755146183</v>
      </c>
      <c r="W959" s="3">
        <f t="shared" si="227"/>
        <v>-27822.72381539768</v>
      </c>
      <c r="X959" s="3">
        <f t="shared" si="228"/>
        <v>2290.2244656926309</v>
      </c>
      <c r="Y959" s="3">
        <f t="shared" si="229"/>
        <v>14146237.359941782</v>
      </c>
      <c r="Z959" s="3">
        <f t="shared" si="230"/>
        <v>-1067351.5538838494</v>
      </c>
      <c r="AA959" s="3">
        <f t="shared" si="231"/>
        <v>14186446.728599481</v>
      </c>
      <c r="AB959" s="3">
        <f t="shared" si="232"/>
        <v>14106237.359941782</v>
      </c>
      <c r="AC959" s="3">
        <f t="shared" si="233"/>
        <v>-1064851.5538838494</v>
      </c>
      <c r="AD959" s="3">
        <f t="shared" si="234"/>
        <v>14146372.018536277</v>
      </c>
      <c r="AE959" s="3">
        <f t="shared" si="235"/>
        <v>14121237.359941782</v>
      </c>
      <c r="AF959" s="3">
        <f t="shared" si="239"/>
        <v>-1089851.5538838494</v>
      </c>
      <c r="AG959" s="3">
        <f t="shared" si="236"/>
        <v>14163231.304519409</v>
      </c>
      <c r="AH959" s="3">
        <f t="shared" si="237"/>
        <v>6.0916394776866674E-3</v>
      </c>
      <c r="AI959" s="3">
        <f t="shared" si="238"/>
        <v>-4.641490393124762E-4</v>
      </c>
    </row>
    <row r="960" spans="19:35" x14ac:dyDescent="0.3">
      <c r="S960" s="6">
        <v>943</v>
      </c>
      <c r="T960" s="4">
        <f t="shared" si="224"/>
        <v>471.5</v>
      </c>
      <c r="U960" s="3">
        <f t="shared" si="225"/>
        <v>-14154061.518121013</v>
      </c>
      <c r="V960" s="3">
        <f t="shared" si="226"/>
        <v>1077141.8876314273</v>
      </c>
      <c r="W960" s="3">
        <f t="shared" si="227"/>
        <v>-27819.851607383949</v>
      </c>
      <c r="X960" s="3">
        <f t="shared" si="228"/>
        <v>2290.0056194205949</v>
      </c>
      <c r="Y960" s="3">
        <f t="shared" si="229"/>
        <v>14160150.157736225</v>
      </c>
      <c r="Z960" s="3">
        <f t="shared" si="230"/>
        <v>-1068496.7755146183</v>
      </c>
      <c r="AA960" s="3">
        <f t="shared" si="231"/>
        <v>14200406.256474579</v>
      </c>
      <c r="AB960" s="3">
        <f t="shared" si="232"/>
        <v>14120150.157736225</v>
      </c>
      <c r="AC960" s="3">
        <f t="shared" si="233"/>
        <v>-1065996.7755146183</v>
      </c>
      <c r="AD960" s="3">
        <f t="shared" si="234"/>
        <v>14160331.549876433</v>
      </c>
      <c r="AE960" s="3">
        <f t="shared" si="235"/>
        <v>14135150.157736225</v>
      </c>
      <c r="AF960" s="3">
        <f t="shared" si="239"/>
        <v>-1090996.7755146183</v>
      </c>
      <c r="AG960" s="3">
        <f t="shared" si="236"/>
        <v>14177190.975152085</v>
      </c>
      <c r="AH960" s="3">
        <f t="shared" si="237"/>
        <v>6.0796525841251602E-3</v>
      </c>
      <c r="AI960" s="3">
        <f t="shared" si="238"/>
        <v>-4.6327229685291435E-4</v>
      </c>
    </row>
    <row r="961" spans="19:35" x14ac:dyDescent="0.3">
      <c r="S961" s="6">
        <v>944</v>
      </c>
      <c r="T961" s="4">
        <f t="shared" si="224"/>
        <v>472</v>
      </c>
      <c r="U961" s="3">
        <f t="shared" si="225"/>
        <v>-14167971.442404792</v>
      </c>
      <c r="V961" s="3">
        <f t="shared" si="226"/>
        <v>1078286.8903253195</v>
      </c>
      <c r="W961" s="3">
        <f t="shared" si="227"/>
        <v>-27816.982011364242</v>
      </c>
      <c r="X961" s="3">
        <f t="shared" si="228"/>
        <v>2289.7869548964804</v>
      </c>
      <c r="Y961" s="3">
        <f t="shared" si="229"/>
        <v>14174061.518121013</v>
      </c>
      <c r="Z961" s="3">
        <f t="shared" si="230"/>
        <v>-1069641.8876314273</v>
      </c>
      <c r="AA961" s="3">
        <f t="shared" si="231"/>
        <v>14214364.343411727</v>
      </c>
      <c r="AB961" s="3">
        <f t="shared" si="232"/>
        <v>14134061.518121013</v>
      </c>
      <c r="AC961" s="3">
        <f t="shared" si="233"/>
        <v>-1067141.8876314273</v>
      </c>
      <c r="AD961" s="3">
        <f t="shared" si="234"/>
        <v>14174289.640273577</v>
      </c>
      <c r="AE961" s="3">
        <f t="shared" si="235"/>
        <v>14149061.518121013</v>
      </c>
      <c r="AF961" s="3">
        <f t="shared" si="239"/>
        <v>-1092141.8876314273</v>
      </c>
      <c r="AG961" s="3">
        <f t="shared" si="236"/>
        <v>14191149.204567332</v>
      </c>
      <c r="AH961" s="3">
        <f t="shared" si="237"/>
        <v>6.0677022682793843E-3</v>
      </c>
      <c r="AI961" s="3">
        <f t="shared" si="238"/>
        <v>-4.6239812580664883E-4</v>
      </c>
    </row>
    <row r="962" spans="19:35" x14ac:dyDescent="0.3">
      <c r="S962" s="6">
        <v>945</v>
      </c>
      <c r="T962" s="4">
        <f t="shared" si="224"/>
        <v>472.5</v>
      </c>
      <c r="U962" s="3">
        <f t="shared" si="225"/>
        <v>-14181879.931893548</v>
      </c>
      <c r="V962" s="3">
        <f t="shared" si="226"/>
        <v>1079431.7836871683</v>
      </c>
      <c r="W962" s="3">
        <f t="shared" si="227"/>
        <v>-27814.115022042479</v>
      </c>
      <c r="X962" s="3">
        <f t="shared" si="228"/>
        <v>2289.5684717820368</v>
      </c>
      <c r="Y962" s="3">
        <f t="shared" si="229"/>
        <v>14187971.442404792</v>
      </c>
      <c r="Z962" s="3">
        <f t="shared" si="230"/>
        <v>-1070786.8903253195</v>
      </c>
      <c r="AA962" s="3">
        <f t="shared" si="231"/>
        <v>14228320.990720812</v>
      </c>
      <c r="AB962" s="3">
        <f t="shared" si="232"/>
        <v>14147971.442404792</v>
      </c>
      <c r="AC962" s="3">
        <f t="shared" si="233"/>
        <v>-1068286.8903253195</v>
      </c>
      <c r="AD962" s="3">
        <f t="shared" si="234"/>
        <v>14188246.29103761</v>
      </c>
      <c r="AE962" s="3">
        <f t="shared" si="235"/>
        <v>14162971.442404792</v>
      </c>
      <c r="AF962" s="3">
        <f t="shared" si="239"/>
        <v>-1093286.8903253195</v>
      </c>
      <c r="AG962" s="3">
        <f t="shared" si="236"/>
        <v>14205105.994075892</v>
      </c>
      <c r="AH962" s="3">
        <f t="shared" si="237"/>
        <v>6.0557883793241427E-3</v>
      </c>
      <c r="AI962" s="3">
        <f t="shared" si="238"/>
        <v>-4.6152651598023323E-4</v>
      </c>
    </row>
    <row r="963" spans="19:35" x14ac:dyDescent="0.3">
      <c r="S963" s="6">
        <v>946</v>
      </c>
      <c r="T963" s="4">
        <f t="shared" si="224"/>
        <v>473</v>
      </c>
      <c r="U963" s="3">
        <f t="shared" si="225"/>
        <v>-14195786.987890622</v>
      </c>
      <c r="V963" s="3">
        <f t="shared" si="226"/>
        <v>1080576.5678076777</v>
      </c>
      <c r="W963" s="3">
        <f t="shared" si="227"/>
        <v>-27811.250634139058</v>
      </c>
      <c r="X963" s="3">
        <f t="shared" si="228"/>
        <v>2289.3501697399784</v>
      </c>
      <c r="Y963" s="3">
        <f t="shared" si="229"/>
        <v>14201879.931893548</v>
      </c>
      <c r="Z963" s="3">
        <f t="shared" si="230"/>
        <v>-1071931.7836871683</v>
      </c>
      <c r="AA963" s="3">
        <f t="shared" si="231"/>
        <v>14242276.199709071</v>
      </c>
      <c r="AB963" s="3">
        <f t="shared" si="232"/>
        <v>14161879.931893548</v>
      </c>
      <c r="AC963" s="3">
        <f t="shared" si="233"/>
        <v>-1069431.7836871683</v>
      </c>
      <c r="AD963" s="3">
        <f t="shared" si="234"/>
        <v>14202201.503475774</v>
      </c>
      <c r="AE963" s="3">
        <f t="shared" si="235"/>
        <v>14176879.931893548</v>
      </c>
      <c r="AF963" s="3">
        <f t="shared" si="239"/>
        <v>-1094431.7836871683</v>
      </c>
      <c r="AG963" s="3">
        <f t="shared" si="236"/>
        <v>14219061.344985846</v>
      </c>
      <c r="AH963" s="3">
        <f t="shared" si="237"/>
        <v>6.0439107672169753E-3</v>
      </c>
      <c r="AI963" s="3">
        <f t="shared" si="238"/>
        <v>-4.60657457231066E-4</v>
      </c>
    </row>
    <row r="964" spans="19:35" x14ac:dyDescent="0.3">
      <c r="S964" s="6">
        <v>947</v>
      </c>
      <c r="T964" s="4">
        <f t="shared" si="224"/>
        <v>473.5</v>
      </c>
      <c r="U964" s="3">
        <f t="shared" si="225"/>
        <v>-14209692.611696713</v>
      </c>
      <c r="V964" s="3">
        <f t="shared" si="226"/>
        <v>1081721.2427773834</v>
      </c>
      <c r="W964" s="3">
        <f t="shared" si="227"/>
        <v>-27808.388842390781</v>
      </c>
      <c r="X964" s="3">
        <f t="shared" si="228"/>
        <v>2289.1320484339794</v>
      </c>
      <c r="Y964" s="3">
        <f t="shared" si="229"/>
        <v>14215786.987890622</v>
      </c>
      <c r="Z964" s="3">
        <f t="shared" si="230"/>
        <v>-1073076.5678076777</v>
      </c>
      <c r="AA964" s="3">
        <f t="shared" si="231"/>
        <v>14256229.97168109</v>
      </c>
      <c r="AB964" s="3">
        <f t="shared" si="232"/>
        <v>14175786.987890622</v>
      </c>
      <c r="AC964" s="3">
        <f t="shared" si="233"/>
        <v>-1070576.5678076777</v>
      </c>
      <c r="AD964" s="3">
        <f t="shared" si="234"/>
        <v>14216155.27889267</v>
      </c>
      <c r="AE964" s="3">
        <f t="shared" si="235"/>
        <v>14190786.987890622</v>
      </c>
      <c r="AF964" s="3">
        <f t="shared" si="239"/>
        <v>-1095576.5678076777</v>
      </c>
      <c r="AG964" s="3">
        <f t="shared" si="236"/>
        <v>14233015.258602621</v>
      </c>
      <c r="AH964" s="3">
        <f t="shared" si="237"/>
        <v>6.0320692826933298E-3</v>
      </c>
      <c r="AI964" s="3">
        <f t="shared" si="238"/>
        <v>-4.5979093946709116E-4</v>
      </c>
    </row>
    <row r="965" spans="19:35" x14ac:dyDescent="0.3">
      <c r="S965" s="6">
        <v>948</v>
      </c>
      <c r="T965" s="4">
        <f t="shared" si="224"/>
        <v>474</v>
      </c>
      <c r="U965" s="3">
        <f t="shared" si="225"/>
        <v>-14223596.804609889</v>
      </c>
      <c r="V965" s="3">
        <f t="shared" si="226"/>
        <v>1082865.8086866527</v>
      </c>
      <c r="W965" s="3">
        <f t="shared" si="227"/>
        <v>-27805.529641550784</v>
      </c>
      <c r="X965" s="3">
        <f t="shared" si="228"/>
        <v>2288.914107528672</v>
      </c>
      <c r="Y965" s="3">
        <f t="shared" si="229"/>
        <v>14229692.611696713</v>
      </c>
      <c r="Z965" s="3">
        <f t="shared" si="230"/>
        <v>-1074221.2427773834</v>
      </c>
      <c r="AA965" s="3">
        <f t="shared" si="231"/>
        <v>14270182.307938823</v>
      </c>
      <c r="AB965" s="3">
        <f t="shared" si="232"/>
        <v>14189692.611696713</v>
      </c>
      <c r="AC965" s="3">
        <f t="shared" si="233"/>
        <v>-1071721.2427773834</v>
      </c>
      <c r="AD965" s="3">
        <f t="shared" si="234"/>
        <v>14230107.618590262</v>
      </c>
      <c r="AE965" s="3">
        <f t="shared" si="235"/>
        <v>14204692.611696713</v>
      </c>
      <c r="AF965" s="3">
        <f t="shared" si="239"/>
        <v>-1096721.2427773834</v>
      </c>
      <c r="AG965" s="3">
        <f t="shared" si="236"/>
        <v>14246967.73622901</v>
      </c>
      <c r="AH965" s="3">
        <f t="shared" si="237"/>
        <v>6.0202637772615985E-3</v>
      </c>
      <c r="AI965" s="3">
        <f t="shared" si="238"/>
        <v>-4.5892695264648591E-4</v>
      </c>
    </row>
    <row r="966" spans="19:35" x14ac:dyDescent="0.3">
      <c r="S966" s="6">
        <v>949</v>
      </c>
      <c r="T966" s="4">
        <f t="shared" si="224"/>
        <v>474.5</v>
      </c>
      <c r="U966" s="3">
        <f t="shared" si="225"/>
        <v>-14237499.567925598</v>
      </c>
      <c r="V966" s="3">
        <f t="shared" si="226"/>
        <v>1084010.2656256852</v>
      </c>
      <c r="W966" s="3">
        <f t="shared" si="227"/>
        <v>-27802.673026388475</v>
      </c>
      <c r="X966" s="3">
        <f t="shared" si="228"/>
        <v>2288.6963466896414</v>
      </c>
      <c r="Y966" s="3">
        <f t="shared" si="229"/>
        <v>14243596.804609889</v>
      </c>
      <c r="Z966" s="3">
        <f t="shared" si="230"/>
        <v>-1075365.8086866527</v>
      </c>
      <c r="AA966" s="3">
        <f t="shared" si="231"/>
        <v>14284133.209781591</v>
      </c>
      <c r="AB966" s="3">
        <f t="shared" si="232"/>
        <v>14203596.804609889</v>
      </c>
      <c r="AC966" s="3">
        <f t="shared" si="233"/>
        <v>-1072865.8086866527</v>
      </c>
      <c r="AD966" s="3">
        <f t="shared" si="234"/>
        <v>14244058.523867877</v>
      </c>
      <c r="AE966" s="3">
        <f t="shared" si="235"/>
        <v>14218596.804609889</v>
      </c>
      <c r="AF966" s="3">
        <f t="shared" si="239"/>
        <v>-1097865.8086866527</v>
      </c>
      <c r="AG966" s="3">
        <f t="shared" si="236"/>
        <v>14260918.779165167</v>
      </c>
      <c r="AH966" s="3">
        <f t="shared" si="237"/>
        <v>6.0084941031984373E-3</v>
      </c>
      <c r="AI966" s="3">
        <f t="shared" si="238"/>
        <v>-4.5806548677737076E-4</v>
      </c>
    </row>
    <row r="967" spans="19:35" x14ac:dyDescent="0.3">
      <c r="S967" s="6">
        <v>950</v>
      </c>
      <c r="T967" s="4">
        <f t="shared" si="224"/>
        <v>475</v>
      </c>
      <c r="U967" s="3">
        <f t="shared" si="225"/>
        <v>-14251400.902936669</v>
      </c>
      <c r="V967" s="3">
        <f t="shared" si="226"/>
        <v>1085154.6136845136</v>
      </c>
      <c r="W967" s="3">
        <f t="shared" si="227"/>
        <v>-27799.818991689455</v>
      </c>
      <c r="X967" s="3">
        <f t="shared" si="228"/>
        <v>2288.478765583422</v>
      </c>
      <c r="Y967" s="3">
        <f t="shared" si="229"/>
        <v>14257499.567925598</v>
      </c>
      <c r="Z967" s="3">
        <f t="shared" si="230"/>
        <v>-1076510.2656256852</v>
      </c>
      <c r="AA967" s="3">
        <f t="shared" si="231"/>
        <v>14298082.678506097</v>
      </c>
      <c r="AB967" s="3">
        <f t="shared" si="232"/>
        <v>14217499.567925598</v>
      </c>
      <c r="AC967" s="3">
        <f t="shared" si="233"/>
        <v>-1074010.2656256852</v>
      </c>
      <c r="AD967" s="3">
        <f t="shared" si="234"/>
        <v>14258007.996022234</v>
      </c>
      <c r="AE967" s="3">
        <f t="shared" si="235"/>
        <v>14232499.567925598</v>
      </c>
      <c r="AF967" s="3">
        <f t="shared" si="239"/>
        <v>-1099010.2656256852</v>
      </c>
      <c r="AG967" s="3">
        <f t="shared" si="236"/>
        <v>14274868.388708632</v>
      </c>
      <c r="AH967" s="3">
        <f t="shared" si="237"/>
        <v>5.9967601135438933E-3</v>
      </c>
      <c r="AI967" s="3">
        <f t="shared" si="238"/>
        <v>-4.5720653191750466E-4</v>
      </c>
    </row>
    <row r="968" spans="19:35" x14ac:dyDescent="0.3">
      <c r="S968" s="6">
        <v>951</v>
      </c>
      <c r="T968" s="4">
        <f t="shared" si="224"/>
        <v>475.5</v>
      </c>
      <c r="U968" s="3">
        <f t="shared" si="225"/>
        <v>-14265300.810933324</v>
      </c>
      <c r="V968" s="3">
        <f t="shared" si="226"/>
        <v>1086298.8529530037</v>
      </c>
      <c r="W968" s="3">
        <f t="shared" si="227"/>
        <v>-27796.967532255465</v>
      </c>
      <c r="X968" s="3">
        <f t="shared" si="228"/>
        <v>2288.2613638774951</v>
      </c>
      <c r="Y968" s="3">
        <f t="shared" si="229"/>
        <v>14271400.902936669</v>
      </c>
      <c r="Z968" s="3">
        <f t="shared" si="230"/>
        <v>-1077654.6136845136</v>
      </c>
      <c r="AA968" s="3">
        <f t="shared" si="231"/>
        <v>14312030.715406431</v>
      </c>
      <c r="AB968" s="3">
        <f t="shared" si="232"/>
        <v>14231400.902936669</v>
      </c>
      <c r="AC968" s="3">
        <f t="shared" si="233"/>
        <v>-1075154.6136845136</v>
      </c>
      <c r="AD968" s="3">
        <f t="shared" si="234"/>
        <v>14271956.036347426</v>
      </c>
      <c r="AE968" s="3">
        <f t="shared" si="235"/>
        <v>14246400.902936669</v>
      </c>
      <c r="AF968" s="3">
        <f t="shared" si="239"/>
        <v>-1100154.6136845136</v>
      </c>
      <c r="AG968" s="3">
        <f t="shared" si="236"/>
        <v>14288816.566154318</v>
      </c>
      <c r="AH968" s="3">
        <f t="shared" si="237"/>
        <v>5.9850616620966291E-3</v>
      </c>
      <c r="AI968" s="3">
        <f t="shared" si="238"/>
        <v>-4.5635007817398514E-4</v>
      </c>
    </row>
    <row r="969" spans="19:35" x14ac:dyDescent="0.3">
      <c r="S969" s="6">
        <v>952</v>
      </c>
      <c r="T969" s="4">
        <f t="shared" si="224"/>
        <v>476</v>
      </c>
      <c r="U969" s="3">
        <f t="shared" si="225"/>
        <v>-14279199.293203186</v>
      </c>
      <c r="V969" s="3">
        <f t="shared" si="226"/>
        <v>1087442.983520855</v>
      </c>
      <c r="W969" s="3">
        <f t="shared" si="227"/>
        <v>-27794.118642904308</v>
      </c>
      <c r="X969" s="3">
        <f t="shared" si="228"/>
        <v>2288.0441412402843</v>
      </c>
      <c r="Y969" s="3">
        <f t="shared" si="229"/>
        <v>14285300.810933324</v>
      </c>
      <c r="Z969" s="3">
        <f t="shared" si="230"/>
        <v>-1078798.8529530037</v>
      </c>
      <c r="AA969" s="3">
        <f t="shared" si="231"/>
        <v>14325977.321774071</v>
      </c>
      <c r="AB969" s="3">
        <f t="shared" si="232"/>
        <v>14245300.810933324</v>
      </c>
      <c r="AC969" s="3">
        <f t="shared" si="233"/>
        <v>-1076298.8529530037</v>
      </c>
      <c r="AD969" s="3">
        <f t="shared" si="234"/>
        <v>14285902.646134948</v>
      </c>
      <c r="AE969" s="3">
        <f t="shared" si="235"/>
        <v>14260300.810933324</v>
      </c>
      <c r="AF969" s="3">
        <f t="shared" si="239"/>
        <v>-1101298.8529530037</v>
      </c>
      <c r="AG969" s="3">
        <f t="shared" si="236"/>
        <v>14302763.312794531</v>
      </c>
      <c r="AH969" s="3">
        <f t="shared" si="237"/>
        <v>5.9733986034092579E-3</v>
      </c>
      <c r="AI969" s="3">
        <f t="shared" si="238"/>
        <v>-4.5549611570295883E-4</v>
      </c>
    </row>
    <row r="970" spans="19:35" x14ac:dyDescent="0.3">
      <c r="S970" s="6">
        <v>953</v>
      </c>
      <c r="T970" s="4">
        <f t="shared" si="224"/>
        <v>476.5</v>
      </c>
      <c r="U970" s="3">
        <f t="shared" si="225"/>
        <v>-14293096.351031289</v>
      </c>
      <c r="V970" s="3">
        <f t="shared" si="226"/>
        <v>1088587.0054776012</v>
      </c>
      <c r="W970" s="3">
        <f t="shared" si="227"/>
        <v>-27791.272318469782</v>
      </c>
      <c r="X970" s="3">
        <f t="shared" si="228"/>
        <v>2287.8270973411518</v>
      </c>
      <c r="Y970" s="3">
        <f t="shared" si="229"/>
        <v>14299199.293203186</v>
      </c>
      <c r="Z970" s="3">
        <f t="shared" si="230"/>
        <v>-1079942.983520855</v>
      </c>
      <c r="AA970" s="3">
        <f t="shared" si="231"/>
        <v>14339922.498897908</v>
      </c>
      <c r="AB970" s="3">
        <f t="shared" si="232"/>
        <v>14259199.293203186</v>
      </c>
      <c r="AC970" s="3">
        <f t="shared" si="233"/>
        <v>-1077442.983520855</v>
      </c>
      <c r="AD970" s="3">
        <f t="shared" si="234"/>
        <v>14299847.826673701</v>
      </c>
      <c r="AE970" s="3">
        <f t="shared" si="235"/>
        <v>14274199.293203186</v>
      </c>
      <c r="AF970" s="3">
        <f t="shared" si="239"/>
        <v>-1102442.983520855</v>
      </c>
      <c r="AG970" s="3">
        <f t="shared" si="236"/>
        <v>14316708.629918985</v>
      </c>
      <c r="AH970" s="3">
        <f t="shared" si="237"/>
        <v>5.9617707927836477E-3</v>
      </c>
      <c r="AI970" s="3">
        <f t="shared" si="238"/>
        <v>-4.5464463470932625E-4</v>
      </c>
    </row>
    <row r="971" spans="19:35" x14ac:dyDescent="0.3">
      <c r="S971" s="6">
        <v>954</v>
      </c>
      <c r="T971" s="4">
        <f t="shared" si="224"/>
        <v>477</v>
      </c>
      <c r="U971" s="3">
        <f t="shared" si="225"/>
        <v>-14306991.985700082</v>
      </c>
      <c r="V971" s="3">
        <f t="shared" si="226"/>
        <v>1089730.9189126105</v>
      </c>
      <c r="W971" s="3">
        <f t="shared" si="227"/>
        <v>-27788.428553801623</v>
      </c>
      <c r="X971" s="3">
        <f t="shared" si="228"/>
        <v>2287.6102318503954</v>
      </c>
      <c r="Y971" s="3">
        <f t="shared" si="229"/>
        <v>14313096.351031289</v>
      </c>
      <c r="Z971" s="3">
        <f t="shared" si="230"/>
        <v>-1081087.0054776012</v>
      </c>
      <c r="AA971" s="3">
        <f t="shared" si="231"/>
        <v>14353866.248064239</v>
      </c>
      <c r="AB971" s="3">
        <f t="shared" si="232"/>
        <v>14273096.351031289</v>
      </c>
      <c r="AC971" s="3">
        <f t="shared" si="233"/>
        <v>-1078587.0054776012</v>
      </c>
      <c r="AD971" s="3">
        <f t="shared" si="234"/>
        <v>14313791.579249986</v>
      </c>
      <c r="AE971" s="3">
        <f t="shared" si="235"/>
        <v>14288096.351031289</v>
      </c>
      <c r="AF971" s="3">
        <f t="shared" si="239"/>
        <v>-1103587.0054776012</v>
      </c>
      <c r="AG971" s="3">
        <f t="shared" si="236"/>
        <v>14330652.518814789</v>
      </c>
      <c r="AH971" s="3">
        <f t="shared" si="237"/>
        <v>5.9501780862662411E-3</v>
      </c>
      <c r="AI971" s="3">
        <f t="shared" si="238"/>
        <v>-4.5379562544645027E-4</v>
      </c>
    </row>
    <row r="972" spans="19:35" x14ac:dyDescent="0.3">
      <c r="S972" s="6">
        <v>955</v>
      </c>
      <c r="T972" s="4">
        <f t="shared" si="224"/>
        <v>477.5</v>
      </c>
      <c r="U972" s="3">
        <f t="shared" si="225"/>
        <v>-14320886.198489439</v>
      </c>
      <c r="V972" s="3">
        <f t="shared" si="226"/>
        <v>1090874.7239150868</v>
      </c>
      <c r="W972" s="3">
        <f t="shared" si="227"/>
        <v>-27785.58734376543</v>
      </c>
      <c r="X972" s="3">
        <f t="shared" si="228"/>
        <v>2287.3935444392446</v>
      </c>
      <c r="Y972" s="3">
        <f t="shared" si="229"/>
        <v>14326991.985700082</v>
      </c>
      <c r="Z972" s="3">
        <f t="shared" si="230"/>
        <v>-1082230.9189126105</v>
      </c>
      <c r="AA972" s="3">
        <f t="shared" si="231"/>
        <v>14367808.570556778</v>
      </c>
      <c r="AB972" s="3">
        <f t="shared" si="232"/>
        <v>14286991.985700082</v>
      </c>
      <c r="AC972" s="3">
        <f t="shared" si="233"/>
        <v>-1079730.9189126105</v>
      </c>
      <c r="AD972" s="3">
        <f t="shared" si="234"/>
        <v>14327733.905147536</v>
      </c>
      <c r="AE972" s="3">
        <f t="shared" si="235"/>
        <v>14301991.985700082</v>
      </c>
      <c r="AF972" s="3">
        <f t="shared" si="239"/>
        <v>-1104730.9189126105</v>
      </c>
      <c r="AG972" s="3">
        <f t="shared" si="236"/>
        <v>14344594.980766479</v>
      </c>
      <c r="AH972" s="3">
        <f t="shared" si="237"/>
        <v>5.9386203406434669E-3</v>
      </c>
      <c r="AI972" s="3">
        <f t="shared" si="238"/>
        <v>-4.5294907821586842E-4</v>
      </c>
    </row>
    <row r="973" spans="19:35" x14ac:dyDescent="0.3">
      <c r="S973" s="6">
        <v>956</v>
      </c>
      <c r="T973" s="4">
        <f t="shared" si="224"/>
        <v>478</v>
      </c>
      <c r="U973" s="3">
        <f t="shared" si="225"/>
        <v>-14334778.990676668</v>
      </c>
      <c r="V973" s="3">
        <f t="shared" si="226"/>
        <v>1092018.4205740693</v>
      </c>
      <c r="W973" s="3">
        <f t="shared" si="227"/>
        <v>-27782.748683242604</v>
      </c>
      <c r="X973" s="3">
        <f t="shared" si="228"/>
        <v>2287.1770347798574</v>
      </c>
      <c r="Y973" s="3">
        <f t="shared" si="229"/>
        <v>14340886.198489439</v>
      </c>
      <c r="Z973" s="3">
        <f t="shared" si="230"/>
        <v>-1083374.7239150868</v>
      </c>
      <c r="AA973" s="3">
        <f t="shared" si="231"/>
        <v>14381749.467656672</v>
      </c>
      <c r="AB973" s="3">
        <f t="shared" si="232"/>
        <v>14300886.198489439</v>
      </c>
      <c r="AC973" s="3">
        <f t="shared" si="233"/>
        <v>-1080874.7239150868</v>
      </c>
      <c r="AD973" s="3">
        <f t="shared" si="234"/>
        <v>14341674.805647498</v>
      </c>
      <c r="AE973" s="3">
        <f t="shared" si="235"/>
        <v>14315886.198489439</v>
      </c>
      <c r="AF973" s="3">
        <f t="shared" si="239"/>
        <v>-1105874.7239150868</v>
      </c>
      <c r="AG973" s="3">
        <f t="shared" si="236"/>
        <v>14358536.017056011</v>
      </c>
      <c r="AH973" s="3">
        <f t="shared" si="237"/>
        <v>5.9270974134371466E-3</v>
      </c>
      <c r="AI973" s="3">
        <f t="shared" si="238"/>
        <v>-4.5210498336700571E-4</v>
      </c>
    </row>
    <row r="974" spans="19:35" x14ac:dyDescent="0.3">
      <c r="S974" s="6">
        <v>957</v>
      </c>
      <c r="T974" s="4">
        <f t="shared" si="224"/>
        <v>478.5</v>
      </c>
      <c r="U974" s="3">
        <f t="shared" si="225"/>
        <v>-14348670.363536514</v>
      </c>
      <c r="V974" s="3">
        <f t="shared" si="226"/>
        <v>1093162.008978433</v>
      </c>
      <c r="W974" s="3">
        <f t="shared" si="227"/>
        <v>-27779.912567130275</v>
      </c>
      <c r="X974" s="3">
        <f t="shared" si="228"/>
        <v>2286.9607025453165</v>
      </c>
      <c r="Y974" s="3">
        <f t="shared" si="229"/>
        <v>14354778.990676668</v>
      </c>
      <c r="Z974" s="3">
        <f t="shared" si="230"/>
        <v>-1084518.4205740693</v>
      </c>
      <c r="AA974" s="3">
        <f t="shared" si="231"/>
        <v>14395688.940642498</v>
      </c>
      <c r="AB974" s="3">
        <f t="shared" si="232"/>
        <v>14314778.990676668</v>
      </c>
      <c r="AC974" s="3">
        <f t="shared" si="233"/>
        <v>-1082018.4205740693</v>
      </c>
      <c r="AD974" s="3">
        <f t="shared" si="234"/>
        <v>14355614.282028468</v>
      </c>
      <c r="AE974" s="3">
        <f t="shared" si="235"/>
        <v>14329778.990676668</v>
      </c>
      <c r="AF974" s="3">
        <f t="shared" si="239"/>
        <v>-1107018.4205740693</v>
      </c>
      <c r="AG974" s="3">
        <f t="shared" si="236"/>
        <v>14372475.628962768</v>
      </c>
      <c r="AH974" s="3">
        <f t="shared" si="237"/>
        <v>5.9156091629000108E-3</v>
      </c>
      <c r="AI974" s="3">
        <f t="shared" si="238"/>
        <v>-4.512633312968949E-4</v>
      </c>
    </row>
    <row r="975" spans="19:35" x14ac:dyDescent="0.3">
      <c r="S975" s="6">
        <v>958</v>
      </c>
      <c r="T975" s="4">
        <f t="shared" si="224"/>
        <v>479</v>
      </c>
      <c r="U975" s="3">
        <f t="shared" si="225"/>
        <v>-14362560.318341177</v>
      </c>
      <c r="V975" s="3">
        <f t="shared" si="226"/>
        <v>1094305.48921689</v>
      </c>
      <c r="W975" s="3">
        <f t="shared" si="227"/>
        <v>-27777.078990341248</v>
      </c>
      <c r="X975" s="3">
        <f t="shared" si="228"/>
        <v>2286.7445474096253</v>
      </c>
      <c r="Y975" s="3">
        <f t="shared" si="229"/>
        <v>14368670.363536514</v>
      </c>
      <c r="Z975" s="3">
        <f t="shared" si="230"/>
        <v>-1085662.008978433</v>
      </c>
      <c r="AA975" s="3">
        <f t="shared" si="231"/>
        <v>14409626.990790278</v>
      </c>
      <c r="AB975" s="3">
        <f t="shared" si="232"/>
        <v>14328670.363536514</v>
      </c>
      <c r="AC975" s="3">
        <f t="shared" si="233"/>
        <v>-1083162.008978433</v>
      </c>
      <c r="AD975" s="3">
        <f t="shared" si="234"/>
        <v>14369552.33556647</v>
      </c>
      <c r="AE975" s="3">
        <f t="shared" si="235"/>
        <v>14343670.363536514</v>
      </c>
      <c r="AF975" s="3">
        <f t="shared" si="239"/>
        <v>-1108162.008978433</v>
      </c>
      <c r="AG975" s="3">
        <f t="shared" si="236"/>
        <v>14386413.81776358</v>
      </c>
      <c r="AH975" s="3">
        <f t="shared" si="237"/>
        <v>5.9041554480110271E-3</v>
      </c>
      <c r="AI975" s="3">
        <f t="shared" si="238"/>
        <v>-4.5042411244988203E-4</v>
      </c>
    </row>
    <row r="976" spans="19:35" x14ac:dyDescent="0.3">
      <c r="S976" s="6">
        <v>959</v>
      </c>
      <c r="T976" s="4">
        <f t="shared" si="224"/>
        <v>479.5</v>
      </c>
      <c r="U976" s="3">
        <f t="shared" si="225"/>
        <v>-14376448.856360309</v>
      </c>
      <c r="V976" s="3">
        <f t="shared" si="226"/>
        <v>1095448.8613779887</v>
      </c>
      <c r="W976" s="3">
        <f t="shared" si="227"/>
        <v>-27774.247947803928</v>
      </c>
      <c r="X976" s="3">
        <f t="shared" si="228"/>
        <v>2286.5285690477058</v>
      </c>
      <c r="Y976" s="3">
        <f t="shared" si="229"/>
        <v>14382560.318341177</v>
      </c>
      <c r="Z976" s="3">
        <f t="shared" si="230"/>
        <v>-1086805.48921689</v>
      </c>
      <c r="AA976" s="3">
        <f t="shared" si="231"/>
        <v>14423563.61937348</v>
      </c>
      <c r="AB976" s="3">
        <f t="shared" si="232"/>
        <v>14342560.318341177</v>
      </c>
      <c r="AC976" s="3">
        <f t="shared" si="233"/>
        <v>-1084305.48921689</v>
      </c>
      <c r="AD976" s="3">
        <f t="shared" si="234"/>
        <v>14383488.967534993</v>
      </c>
      <c r="AE976" s="3">
        <f t="shared" si="235"/>
        <v>14357560.318341177</v>
      </c>
      <c r="AF976" s="3">
        <f t="shared" si="239"/>
        <v>-1109305.48921689</v>
      </c>
      <c r="AG976" s="3">
        <f t="shared" si="236"/>
        <v>14400350.584732717</v>
      </c>
      <c r="AH976" s="3">
        <f t="shared" si="237"/>
        <v>5.8927361284711243E-3</v>
      </c>
      <c r="AI976" s="3">
        <f t="shared" si="238"/>
        <v>-4.4958731731736107E-4</v>
      </c>
    </row>
    <row r="977" spans="19:35" x14ac:dyDescent="0.3">
      <c r="S977" s="6">
        <v>960</v>
      </c>
      <c r="T977" s="4">
        <f t="shared" si="224"/>
        <v>480</v>
      </c>
      <c r="U977" s="3">
        <f t="shared" si="225"/>
        <v>-14390335.978861026</v>
      </c>
      <c r="V977" s="3">
        <f t="shared" si="226"/>
        <v>1096592.1255501157</v>
      </c>
      <c r="W977" s="3">
        <f t="shared" si="227"/>
        <v>-27771.419434462263</v>
      </c>
      <c r="X977" s="3">
        <f t="shared" si="228"/>
        <v>2286.3127671353936</v>
      </c>
      <c r="Y977" s="3">
        <f t="shared" si="229"/>
        <v>14396448.856360309</v>
      </c>
      <c r="Z977" s="3">
        <f t="shared" si="230"/>
        <v>-1087948.8613779887</v>
      </c>
      <c r="AA977" s="3">
        <f t="shared" si="231"/>
        <v>14437498.827663042</v>
      </c>
      <c r="AB977" s="3">
        <f t="shared" si="232"/>
        <v>14356448.856360309</v>
      </c>
      <c r="AC977" s="3">
        <f t="shared" si="233"/>
        <v>-1085448.8613779887</v>
      </c>
      <c r="AD977" s="3">
        <f t="shared" si="234"/>
        <v>14397424.179204972</v>
      </c>
      <c r="AE977" s="3">
        <f t="shared" si="235"/>
        <v>14371448.856360309</v>
      </c>
      <c r="AF977" s="3">
        <f t="shared" si="239"/>
        <v>-1110448.8613779887</v>
      </c>
      <c r="AG977" s="3">
        <f t="shared" si="236"/>
        <v>14414285.931141913</v>
      </c>
      <c r="AH977" s="3">
        <f t="shared" si="237"/>
        <v>5.8813510646984566E-3</v>
      </c>
      <c r="AI977" s="3">
        <f t="shared" si="238"/>
        <v>-4.4875293643747413E-4</v>
      </c>
    </row>
    <row r="978" spans="19:35" x14ac:dyDescent="0.3">
      <c r="S978" s="6">
        <v>961</v>
      </c>
      <c r="T978" s="4">
        <f t="shared" ref="T978:T1017" si="240">T977+$C$4</f>
        <v>480.5</v>
      </c>
      <c r="U978" s="3">
        <f t="shared" ref="U978:U1017" si="241">U977+(W977*$C$4)+(AH977*POWER($C$4,2))</f>
        <v>-14404221.687107919</v>
      </c>
      <c r="V978" s="3">
        <f t="shared" ref="V978:V1017" si="242">V977+(X977*$C$4)+(AI977*POWER($C$4,2))</f>
        <v>1097735.2818214952</v>
      </c>
      <c r="W978" s="3">
        <f t="shared" ref="W978:W1017" si="243">W977+(AH977*T978)</f>
        <v>-27768.593445275674</v>
      </c>
      <c r="X978" s="3">
        <f t="shared" ref="X978:X1017" si="244">X977+(AI977*T978)</f>
        <v>2286.0971413494353</v>
      </c>
      <c r="Y978" s="3">
        <f t="shared" ref="Y978:Y1017" si="245">$C$19-U977</f>
        <v>14410335.978861026</v>
      </c>
      <c r="Z978" s="3">
        <f t="shared" ref="Z978:Z1017" si="246">$C$20-V977</f>
        <v>-1089092.1255501157</v>
      </c>
      <c r="AA978" s="3">
        <f t="shared" ref="AA978:AA1017" si="247">SQRT(POWER(Y978,2)+POWER(Z978,2))</f>
        <v>14451432.616927356</v>
      </c>
      <c r="AB978" s="3">
        <f t="shared" si="232"/>
        <v>14370335.978861026</v>
      </c>
      <c r="AC978" s="3">
        <f t="shared" si="233"/>
        <v>-1086592.1255501157</v>
      </c>
      <c r="AD978" s="3">
        <f t="shared" ref="AD978:AD1017" si="248">SQRT(POWER(AB978,2)+POWER(AC978,2))</f>
        <v>14411357.971844818</v>
      </c>
      <c r="AE978" s="3">
        <f t="shared" si="235"/>
        <v>14385335.978861026</v>
      </c>
      <c r="AF978" s="3">
        <f t="shared" si="239"/>
        <v>-1111592.1255501157</v>
      </c>
      <c r="AG978" s="3">
        <f t="shared" ref="AG978:AG1017" si="249">SQRT(POWER(AE978,2)+POWER(AF978,2))</f>
        <v>14428219.858260358</v>
      </c>
      <c r="AH978" s="3">
        <f t="shared" ref="AH978:AH1017" si="250">($C$24*(Y978/POWER(POWER(AA978,2)+POWER($C$25,2),3/2)))+($F$24*(AB978/POWER(POWER(AD978,2)+POWER($F$25,2),3/2)))+($I$24*(AE978/POWER(POWER(AG978,2)+POWER($I$25,2),3/2)))</f>
        <v>5.8700001178243442E-3</v>
      </c>
      <c r="AI978" s="3">
        <f t="shared" ref="AI978:AI1017" si="251">$C$24*(Z978/POWER(POWER(AA978,2)+POWER($C$25,2),3/2))+$F$24*(AC978/POWER(POWER(AD978,2)+POWER($F$25,2),3/2))+$I$24*(AF978/POWER(POWER(AG978,2)+POWER($I$25,2),3/2))</f>
        <v>-4.4792096039486111E-4</v>
      </c>
    </row>
    <row r="979" spans="19:35" x14ac:dyDescent="0.3">
      <c r="S979" s="6">
        <v>962</v>
      </c>
      <c r="T979" s="4">
        <f t="shared" si="240"/>
        <v>481</v>
      </c>
      <c r="U979" s="3">
        <f t="shared" si="241"/>
        <v>-14418105.982363056</v>
      </c>
      <c r="V979" s="3">
        <f t="shared" si="242"/>
        <v>1098878.3302801896</v>
      </c>
      <c r="W979" s="3">
        <f t="shared" si="243"/>
        <v>-27765.769975219002</v>
      </c>
      <c r="X979" s="3">
        <f t="shared" si="244"/>
        <v>2285.8816913674855</v>
      </c>
      <c r="Y979" s="3">
        <f t="shared" si="245"/>
        <v>14424221.687107919</v>
      </c>
      <c r="Z979" s="3">
        <f t="shared" si="246"/>
        <v>-1090235.2818214952</v>
      </c>
      <c r="AA979" s="3">
        <f t="shared" si="247"/>
        <v>14465364.988432294</v>
      </c>
      <c r="AB979" s="3">
        <f t="shared" ref="AB979:AB1017" si="252">$F$19-U978</f>
        <v>14384221.687107919</v>
      </c>
      <c r="AC979" s="3">
        <f t="shared" ref="AC979:AC1017" si="253">$F$20-V978</f>
        <v>-1087735.2818214952</v>
      </c>
      <c r="AD979" s="3">
        <f t="shared" si="248"/>
        <v>14425290.346720411</v>
      </c>
      <c r="AE979" s="3">
        <f t="shared" ref="AE979:AE1017" si="254">$I$19-U978</f>
        <v>14399221.687107919</v>
      </c>
      <c r="AF979" s="3">
        <f t="shared" ref="AF979:AF1017" si="255">$I$20-V978</f>
        <v>-1112735.2818214952</v>
      </c>
      <c r="AG979" s="3">
        <f t="shared" si="249"/>
        <v>14442152.367354715</v>
      </c>
      <c r="AH979" s="3">
        <f t="shared" si="250"/>
        <v>5.8586831496885757E-3</v>
      </c>
      <c r="AI979" s="3">
        <f t="shared" si="251"/>
        <v>-4.4709137982036206E-4</v>
      </c>
    </row>
    <row r="980" spans="19:35" x14ac:dyDescent="0.3">
      <c r="S980" s="6">
        <v>963</v>
      </c>
      <c r="T980" s="4">
        <f t="shared" si="240"/>
        <v>481.5</v>
      </c>
      <c r="U980" s="3">
        <f t="shared" si="241"/>
        <v>-14431988.865885995</v>
      </c>
      <c r="V980" s="3">
        <f t="shared" si="242"/>
        <v>1100021.2710141004</v>
      </c>
      <c r="W980" s="3">
        <f t="shared" si="243"/>
        <v>-27762.949019282427</v>
      </c>
      <c r="X980" s="3">
        <f t="shared" si="244"/>
        <v>2285.6664168681018</v>
      </c>
      <c r="Y980" s="3">
        <f t="shared" si="245"/>
        <v>14438105.982363056</v>
      </c>
      <c r="Z980" s="3">
        <f t="shared" si="246"/>
        <v>-1091378.3302801896</v>
      </c>
      <c r="AA980" s="3">
        <f t="shared" si="247"/>
        <v>14479295.94344121</v>
      </c>
      <c r="AB980" s="3">
        <f t="shared" si="252"/>
        <v>14398105.982363056</v>
      </c>
      <c r="AC980" s="3">
        <f t="shared" si="253"/>
        <v>-1088878.3302801896</v>
      </c>
      <c r="AD980" s="3">
        <f t="shared" si="248"/>
        <v>14439221.305095114</v>
      </c>
      <c r="AE980" s="3">
        <f t="shared" si="254"/>
        <v>14413105.982363056</v>
      </c>
      <c r="AF980" s="3">
        <f t="shared" si="255"/>
        <v>-1113878.3302801896</v>
      </c>
      <c r="AG980" s="3">
        <f t="shared" si="249"/>
        <v>14456083.459689125</v>
      </c>
      <c r="AH980" s="3">
        <f t="shared" si="250"/>
        <v>5.8474000228352398E-3</v>
      </c>
      <c r="AI980" s="3">
        <f t="shared" si="251"/>
        <v>-4.462641853907572E-4</v>
      </c>
    </row>
    <row r="981" spans="19:35" x14ac:dyDescent="0.3">
      <c r="S981" s="6">
        <v>964</v>
      </c>
      <c r="T981" s="4">
        <f t="shared" si="240"/>
        <v>482</v>
      </c>
      <c r="U981" s="3">
        <f t="shared" si="241"/>
        <v>-14445870.338933786</v>
      </c>
      <c r="V981" s="3">
        <f t="shared" si="242"/>
        <v>1101164.1041109683</v>
      </c>
      <c r="W981" s="3">
        <f t="shared" si="243"/>
        <v>-27760.130572471422</v>
      </c>
      <c r="X981" s="3">
        <f t="shared" si="244"/>
        <v>2285.4513175307434</v>
      </c>
      <c r="Y981" s="3">
        <f t="shared" si="245"/>
        <v>14451988.865885995</v>
      </c>
      <c r="Z981" s="3">
        <f t="shared" si="246"/>
        <v>-1092521.2710141004</v>
      </c>
      <c r="AA981" s="3">
        <f t="shared" si="247"/>
        <v>14493225.483214943</v>
      </c>
      <c r="AB981" s="3">
        <f t="shared" si="252"/>
        <v>14411988.865885995</v>
      </c>
      <c r="AC981" s="3">
        <f t="shared" si="253"/>
        <v>-1090021.2710141004</v>
      </c>
      <c r="AD981" s="3">
        <f t="shared" si="248"/>
        <v>14453150.848229775</v>
      </c>
      <c r="AE981" s="3">
        <f t="shared" si="254"/>
        <v>14426988.865885995</v>
      </c>
      <c r="AF981" s="3">
        <f t="shared" si="255"/>
        <v>-1115021.2710141004</v>
      </c>
      <c r="AG981" s="3">
        <f t="shared" si="249"/>
        <v>14470013.136525217</v>
      </c>
      <c r="AH981" s="3">
        <f t="shared" si="250"/>
        <v>5.8361506005082621E-3</v>
      </c>
      <c r="AI981" s="3">
        <f t="shared" si="251"/>
        <v>-4.4543936782848658E-4</v>
      </c>
    </row>
    <row r="982" spans="19:35" x14ac:dyDescent="0.3">
      <c r="S982" s="6">
        <v>965</v>
      </c>
      <c r="T982" s="4">
        <f t="shared" si="240"/>
        <v>482.5</v>
      </c>
      <c r="U982" s="3">
        <f t="shared" si="241"/>
        <v>-14459750.402760984</v>
      </c>
      <c r="V982" s="3">
        <f t="shared" si="242"/>
        <v>1102306.8296583737</v>
      </c>
      <c r="W982" s="3">
        <f t="shared" si="243"/>
        <v>-27757.314629806679</v>
      </c>
      <c r="X982" s="3">
        <f t="shared" si="244"/>
        <v>2285.236393035766</v>
      </c>
      <c r="Y982" s="3">
        <f t="shared" si="245"/>
        <v>14465870.338933786</v>
      </c>
      <c r="Z982" s="3">
        <f t="shared" si="246"/>
        <v>-1093664.1041109683</v>
      </c>
      <c r="AA982" s="3">
        <f t="shared" si="247"/>
        <v>14507153.609011836</v>
      </c>
      <c r="AB982" s="3">
        <f t="shared" si="252"/>
        <v>14425870.338933786</v>
      </c>
      <c r="AC982" s="3">
        <f t="shared" si="253"/>
        <v>-1091164.1041109683</v>
      </c>
      <c r="AD982" s="3">
        <f t="shared" si="248"/>
        <v>14467078.977382749</v>
      </c>
      <c r="AE982" s="3">
        <f t="shared" si="254"/>
        <v>14440870.338933786</v>
      </c>
      <c r="AF982" s="3">
        <f t="shared" si="255"/>
        <v>-1116164.1041109683</v>
      </c>
      <c r="AG982" s="3">
        <f t="shared" si="249"/>
        <v>14483941.399122113</v>
      </c>
      <c r="AH982" s="3">
        <f t="shared" si="250"/>
        <v>5.8249347466472479E-3</v>
      </c>
      <c r="AI982" s="3">
        <f t="shared" si="251"/>
        <v>-4.4461691790138966E-4</v>
      </c>
    </row>
    <row r="983" spans="19:35" x14ac:dyDescent="0.3">
      <c r="S983" s="6">
        <v>966</v>
      </c>
      <c r="T983" s="4">
        <f t="shared" si="240"/>
        <v>483</v>
      </c>
      <c r="U983" s="3">
        <f t="shared" si="241"/>
        <v>-14473629.058619654</v>
      </c>
      <c r="V983" s="3">
        <f t="shared" si="242"/>
        <v>1103449.4477437374</v>
      </c>
      <c r="W983" s="3">
        <f t="shared" si="243"/>
        <v>-27754.501186324047</v>
      </c>
      <c r="X983" s="3">
        <f t="shared" si="244"/>
        <v>2285.0216430644195</v>
      </c>
      <c r="Y983" s="3">
        <f t="shared" si="245"/>
        <v>14479750.402760984</v>
      </c>
      <c r="Z983" s="3">
        <f t="shared" si="246"/>
        <v>-1094806.8296583737</v>
      </c>
      <c r="AA983" s="3">
        <f t="shared" si="247"/>
        <v>14521080.322087729</v>
      </c>
      <c r="AB983" s="3">
        <f t="shared" si="252"/>
        <v>14439750.402760984</v>
      </c>
      <c r="AC983" s="3">
        <f t="shared" si="253"/>
        <v>-1092306.8296583737</v>
      </c>
      <c r="AD983" s="3">
        <f t="shared" si="248"/>
        <v>14481005.693809886</v>
      </c>
      <c r="AE983" s="3">
        <f t="shared" si="254"/>
        <v>14454750.402760984</v>
      </c>
      <c r="AF983" s="3">
        <f t="shared" si="255"/>
        <v>-1117306.8296583737</v>
      </c>
      <c r="AG983" s="3">
        <f t="shared" si="249"/>
        <v>14497868.248736436</v>
      </c>
      <c r="AH983" s="3">
        <f t="shared" si="250"/>
        <v>5.8137523258831175E-3</v>
      </c>
      <c r="AI983" s="3">
        <f t="shared" si="251"/>
        <v>-4.4379682642243135E-4</v>
      </c>
    </row>
    <row r="984" spans="19:35" x14ac:dyDescent="0.3">
      <c r="S984" s="6">
        <v>967</v>
      </c>
      <c r="T984" s="4">
        <f t="shared" si="240"/>
        <v>483.5</v>
      </c>
      <c r="U984" s="3">
        <f t="shared" si="241"/>
        <v>-14487506.307759376</v>
      </c>
      <c r="V984" s="3">
        <f t="shared" si="242"/>
        <v>1104591.9584543204</v>
      </c>
      <c r="W984" s="3">
        <f t="shared" si="243"/>
        <v>-27751.690237074483</v>
      </c>
      <c r="X984" s="3">
        <f t="shared" si="244"/>
        <v>2284.8070672988442</v>
      </c>
      <c r="Y984" s="3">
        <f t="shared" si="245"/>
        <v>14493629.058619654</v>
      </c>
      <c r="Z984" s="3">
        <f t="shared" si="246"/>
        <v>-1095949.4477437374</v>
      </c>
      <c r="AA984" s="3">
        <f t="shared" si="247"/>
        <v>14535005.623695983</v>
      </c>
      <c r="AB984" s="3">
        <f t="shared" si="252"/>
        <v>14453629.058619654</v>
      </c>
      <c r="AC984" s="3">
        <f t="shared" si="253"/>
        <v>-1093449.4477437374</v>
      </c>
      <c r="AD984" s="3">
        <f t="shared" si="248"/>
        <v>14494930.998764552</v>
      </c>
      <c r="AE984" s="3">
        <f t="shared" si="254"/>
        <v>14468629.058619654</v>
      </c>
      <c r="AF984" s="3">
        <f t="shared" si="255"/>
        <v>-1118449.4477437374</v>
      </c>
      <c r="AG984" s="3">
        <f t="shared" si="249"/>
        <v>14511793.686622318</v>
      </c>
      <c r="AH984" s="3">
        <f t="shared" si="250"/>
        <v>5.8026032035339726E-3</v>
      </c>
      <c r="AI984" s="3">
        <f t="shared" si="251"/>
        <v>-4.4297908424944361E-4</v>
      </c>
    </row>
    <row r="985" spans="19:35" x14ac:dyDescent="0.3">
      <c r="S985" s="6">
        <v>968</v>
      </c>
      <c r="T985" s="4">
        <f t="shared" si="240"/>
        <v>484</v>
      </c>
      <c r="U985" s="3">
        <f t="shared" si="241"/>
        <v>-14501382.151427263</v>
      </c>
      <c r="V985" s="3">
        <f t="shared" si="242"/>
        <v>1105734.3618772251</v>
      </c>
      <c r="W985" s="3">
        <f t="shared" si="243"/>
        <v>-27748.881777123974</v>
      </c>
      <c r="X985" s="3">
        <f t="shared" si="244"/>
        <v>2284.5926654220675</v>
      </c>
      <c r="Y985" s="3">
        <f t="shared" si="245"/>
        <v>14507506.307759376</v>
      </c>
      <c r="Z985" s="3">
        <f t="shared" si="246"/>
        <v>-1097091.9584543204</v>
      </c>
      <c r="AA985" s="3">
        <f t="shared" si="247"/>
        <v>14548929.515087467</v>
      </c>
      <c r="AB985" s="3">
        <f t="shared" si="252"/>
        <v>14467506.307759376</v>
      </c>
      <c r="AC985" s="3">
        <f t="shared" si="253"/>
        <v>-1094591.9584543204</v>
      </c>
      <c r="AD985" s="3">
        <f t="shared" si="248"/>
        <v>14508854.893497633</v>
      </c>
      <c r="AE985" s="3">
        <f t="shared" si="254"/>
        <v>14482506.307759376</v>
      </c>
      <c r="AF985" s="3">
        <f t="shared" si="255"/>
        <v>-1119591.9584543204</v>
      </c>
      <c r="AG985" s="3">
        <f t="shared" si="249"/>
        <v>14525717.714031404</v>
      </c>
      <c r="AH985" s="3">
        <f t="shared" si="250"/>
        <v>5.7914872456006862E-3</v>
      </c>
      <c r="AI985" s="3">
        <f t="shared" si="251"/>
        <v>-4.4216368228484454E-4</v>
      </c>
    </row>
    <row r="986" spans="19:35" x14ac:dyDescent="0.3">
      <c r="S986" s="6">
        <v>969</v>
      </c>
      <c r="T986" s="4">
        <f t="shared" si="240"/>
        <v>484.5</v>
      </c>
      <c r="U986" s="3">
        <f t="shared" si="241"/>
        <v>-14515256.590867953</v>
      </c>
      <c r="V986" s="3">
        <f t="shared" si="242"/>
        <v>1106876.6580993952</v>
      </c>
      <c r="W986" s="3">
        <f t="shared" si="243"/>
        <v>-27746.075801553481</v>
      </c>
      <c r="X986" s="3">
        <f t="shared" si="244"/>
        <v>2284.3784371180004</v>
      </c>
      <c r="Y986" s="3">
        <f t="shared" si="245"/>
        <v>14521382.151427263</v>
      </c>
      <c r="Z986" s="3">
        <f t="shared" si="246"/>
        <v>-1098234.3618772251</v>
      </c>
      <c r="AA986" s="3">
        <f t="shared" si="247"/>
        <v>14562851.99751059</v>
      </c>
      <c r="AB986" s="3">
        <f t="shared" si="252"/>
        <v>14481382.151427263</v>
      </c>
      <c r="AC986" s="3">
        <f t="shared" si="253"/>
        <v>-1095734.3618772251</v>
      </c>
      <c r="AD986" s="3">
        <f t="shared" si="248"/>
        <v>14522777.379257545</v>
      </c>
      <c r="AE986" s="3">
        <f t="shared" si="254"/>
        <v>14496382.151427263</v>
      </c>
      <c r="AF986" s="3">
        <f t="shared" si="255"/>
        <v>-1120734.3618772251</v>
      </c>
      <c r="AG986" s="3">
        <f t="shared" si="249"/>
        <v>14539640.332212873</v>
      </c>
      <c r="AH986" s="3">
        <f t="shared" si="250"/>
        <v>5.780404318763083E-3</v>
      </c>
      <c r="AI986" s="3">
        <f t="shared" si="251"/>
        <v>-4.4135061147540489E-4</v>
      </c>
    </row>
    <row r="987" spans="19:35" x14ac:dyDescent="0.3">
      <c r="S987" s="6">
        <v>970</v>
      </c>
      <c r="T987" s="4">
        <f t="shared" si="240"/>
        <v>485</v>
      </c>
      <c r="U987" s="3">
        <f t="shared" si="241"/>
        <v>-14529129.627323629</v>
      </c>
      <c r="V987" s="3">
        <f t="shared" si="242"/>
        <v>1108018.8472076165</v>
      </c>
      <c r="W987" s="3">
        <f t="shared" si="243"/>
        <v>-27743.272305458882</v>
      </c>
      <c r="X987" s="3">
        <f t="shared" si="244"/>
        <v>2284.1643820714348</v>
      </c>
      <c r="Y987" s="3">
        <f t="shared" si="245"/>
        <v>14535256.590867953</v>
      </c>
      <c r="Z987" s="3">
        <f t="shared" si="246"/>
        <v>-1099376.6580993952</v>
      </c>
      <c r="AA987" s="3">
        <f t="shared" si="247"/>
        <v>14576773.072211286</v>
      </c>
      <c r="AB987" s="3">
        <f t="shared" si="252"/>
        <v>14495256.590867953</v>
      </c>
      <c r="AC987" s="3">
        <f t="shared" si="253"/>
        <v>-1096876.6580993952</v>
      </c>
      <c r="AD987" s="3">
        <f t="shared" si="248"/>
        <v>14536698.45729023</v>
      </c>
      <c r="AE987" s="3">
        <f t="shared" si="254"/>
        <v>14510256.590867953</v>
      </c>
      <c r="AF987" s="3">
        <f t="shared" si="255"/>
        <v>-1121876.6580993952</v>
      </c>
      <c r="AG987" s="3">
        <f t="shared" si="249"/>
        <v>14553561.542413428</v>
      </c>
      <c r="AH987" s="3">
        <f t="shared" si="250"/>
        <v>5.7693542903754069E-3</v>
      </c>
      <c r="AI987" s="3">
        <f t="shared" si="251"/>
        <v>-4.4053986281195756E-4</v>
      </c>
    </row>
    <row r="988" spans="19:35" x14ac:dyDescent="0.3">
      <c r="S988" s="6">
        <v>971</v>
      </c>
      <c r="T988" s="4">
        <f t="shared" si="240"/>
        <v>485.5</v>
      </c>
      <c r="U988" s="3">
        <f t="shared" si="241"/>
        <v>-14543001.262034019</v>
      </c>
      <c r="V988" s="3">
        <f t="shared" si="242"/>
        <v>1109160.9292885172</v>
      </c>
      <c r="W988" s="3">
        <f t="shared" si="243"/>
        <v>-27740.471283950905</v>
      </c>
      <c r="X988" s="3">
        <f t="shared" si="244"/>
        <v>2283.9504999680398</v>
      </c>
      <c r="Y988" s="3">
        <f t="shared" si="245"/>
        <v>14549129.627323629</v>
      </c>
      <c r="Z988" s="3">
        <f t="shared" si="246"/>
        <v>-1100518.8472076165</v>
      </c>
      <c r="AA988" s="3">
        <f t="shared" si="247"/>
        <v>14590692.740433039</v>
      </c>
      <c r="AB988" s="3">
        <f t="shared" si="252"/>
        <v>14509129.627323629</v>
      </c>
      <c r="AC988" s="3">
        <f t="shared" si="253"/>
        <v>-1098018.8472076165</v>
      </c>
      <c r="AD988" s="3">
        <f t="shared" si="248"/>
        <v>14550618.128839182</v>
      </c>
      <c r="AE988" s="3">
        <f t="shared" si="254"/>
        <v>14524129.627323629</v>
      </c>
      <c r="AF988" s="3">
        <f t="shared" si="255"/>
        <v>-1123018.8472076165</v>
      </c>
      <c r="AG988" s="3">
        <f t="shared" si="249"/>
        <v>14567481.345877316</v>
      </c>
      <c r="AH988" s="3">
        <f t="shared" si="250"/>
        <v>5.758337028462489E-3</v>
      </c>
      <c r="AI988" s="3">
        <f t="shared" si="251"/>
        <v>-4.3973142732916002E-4</v>
      </c>
    </row>
    <row r="989" spans="19:35" x14ac:dyDescent="0.3">
      <c r="S989" s="6">
        <v>972</v>
      </c>
      <c r="T989" s="4">
        <f t="shared" si="240"/>
        <v>486</v>
      </c>
      <c r="U989" s="3">
        <f t="shared" si="241"/>
        <v>-14556871.49623641</v>
      </c>
      <c r="V989" s="3">
        <f t="shared" si="242"/>
        <v>1110302.9044285684</v>
      </c>
      <c r="W989" s="3">
        <f t="shared" si="243"/>
        <v>-27737.672732155072</v>
      </c>
      <c r="X989" s="3">
        <f t="shared" si="244"/>
        <v>2283.736790494358</v>
      </c>
      <c r="Y989" s="3">
        <f t="shared" si="245"/>
        <v>14563001.262034019</v>
      </c>
      <c r="Z989" s="3">
        <f t="shared" si="246"/>
        <v>-1101660.9292885172</v>
      </c>
      <c r="AA989" s="3">
        <f t="shared" si="247"/>
        <v>14604611.003416875</v>
      </c>
      <c r="AB989" s="3">
        <f t="shared" si="252"/>
        <v>14523001.262034019</v>
      </c>
      <c r="AC989" s="3">
        <f t="shared" si="253"/>
        <v>-1099160.9292885172</v>
      </c>
      <c r="AD989" s="3">
        <f t="shared" si="248"/>
        <v>14564536.39514544</v>
      </c>
      <c r="AE989" s="3">
        <f t="shared" si="254"/>
        <v>14538001.262034019</v>
      </c>
      <c r="AF989" s="3">
        <f t="shared" si="255"/>
        <v>-1124160.9292885172</v>
      </c>
      <c r="AG989" s="3">
        <f t="shared" si="249"/>
        <v>14581399.743846321</v>
      </c>
      <c r="AH989" s="3">
        <f t="shared" si="250"/>
        <v>5.7473524017155574E-3</v>
      </c>
      <c r="AI989" s="3">
        <f t="shared" si="251"/>
        <v>-4.3892529610523034E-4</v>
      </c>
    </row>
    <row r="990" spans="19:35" x14ac:dyDescent="0.3">
      <c r="S990" s="6">
        <v>973</v>
      </c>
      <c r="T990" s="4">
        <f t="shared" si="240"/>
        <v>486.5</v>
      </c>
      <c r="U990" s="3">
        <f t="shared" si="241"/>
        <v>-14570740.331165649</v>
      </c>
      <c r="V990" s="3">
        <f t="shared" si="242"/>
        <v>1111444.7727140845</v>
      </c>
      <c r="W990" s="3">
        <f t="shared" si="243"/>
        <v>-27734.876645211636</v>
      </c>
      <c r="X990" s="3">
        <f t="shared" si="244"/>
        <v>2283.523253337803</v>
      </c>
      <c r="Y990" s="3">
        <f t="shared" si="245"/>
        <v>14576871.49623641</v>
      </c>
      <c r="Z990" s="3">
        <f t="shared" si="246"/>
        <v>-1102802.9044285684</v>
      </c>
      <c r="AA990" s="3">
        <f t="shared" si="247"/>
        <v>14618527.862401385</v>
      </c>
      <c r="AB990" s="3">
        <f t="shared" si="252"/>
        <v>14536871.49623641</v>
      </c>
      <c r="AC990" s="3">
        <f t="shared" si="253"/>
        <v>-1100302.9044285684</v>
      </c>
      <c r="AD990" s="3">
        <f t="shared" si="248"/>
        <v>14578453.2574476</v>
      </c>
      <c r="AE990" s="3">
        <f t="shared" si="254"/>
        <v>14551871.49623641</v>
      </c>
      <c r="AF990" s="3">
        <f t="shared" si="255"/>
        <v>-1125302.9044285684</v>
      </c>
      <c r="AG990" s="3">
        <f t="shared" si="249"/>
        <v>14595316.737559794</v>
      </c>
      <c r="AH990" s="3">
        <f t="shared" si="250"/>
        <v>5.7364002794881609E-3</v>
      </c>
      <c r="AI990" s="3">
        <f t="shared" si="251"/>
        <v>-4.3812146026169006E-4</v>
      </c>
    </row>
    <row r="991" spans="19:35" x14ac:dyDescent="0.3">
      <c r="S991" s="6">
        <v>974</v>
      </c>
      <c r="T991" s="4">
        <f t="shared" si="240"/>
        <v>487</v>
      </c>
      <c r="U991" s="3">
        <f t="shared" si="241"/>
        <v>-14584607.768054154</v>
      </c>
      <c r="V991" s="3">
        <f t="shared" si="242"/>
        <v>1112586.5342312232</v>
      </c>
      <c r="W991" s="3">
        <f t="shared" si="243"/>
        <v>-27732.083018275527</v>
      </c>
      <c r="X991" s="3">
        <f t="shared" si="244"/>
        <v>2283.3098881866554</v>
      </c>
      <c r="Y991" s="3">
        <f t="shared" si="245"/>
        <v>14590740.331165649</v>
      </c>
      <c r="Z991" s="3">
        <f t="shared" si="246"/>
        <v>-1103944.7727140845</v>
      </c>
      <c r="AA991" s="3">
        <f t="shared" si="247"/>
        <v>14632443.318622718</v>
      </c>
      <c r="AB991" s="3">
        <f t="shared" si="252"/>
        <v>14550740.331165649</v>
      </c>
      <c r="AC991" s="3">
        <f t="shared" si="253"/>
        <v>-1101444.7727140845</v>
      </c>
      <c r="AD991" s="3">
        <f t="shared" si="248"/>
        <v>14592368.716981826</v>
      </c>
      <c r="AE991" s="3">
        <f t="shared" si="254"/>
        <v>14565740.331165649</v>
      </c>
      <c r="AF991" s="3">
        <f t="shared" si="255"/>
        <v>-1126444.7727140845</v>
      </c>
      <c r="AG991" s="3">
        <f t="shared" si="249"/>
        <v>14609232.32825464</v>
      </c>
      <c r="AH991" s="3">
        <f t="shared" si="250"/>
        <v>5.7254805317922368E-3</v>
      </c>
      <c r="AI991" s="3">
        <f t="shared" si="251"/>
        <v>-4.3731991096311834E-4</v>
      </c>
    </row>
    <row r="992" spans="19:35" x14ac:dyDescent="0.3">
      <c r="S992" s="6">
        <v>975</v>
      </c>
      <c r="T992" s="4">
        <f t="shared" si="240"/>
        <v>487.5</v>
      </c>
      <c r="U992" s="3">
        <f t="shared" si="241"/>
        <v>-14598473.808131922</v>
      </c>
      <c r="V992" s="3">
        <f t="shared" si="242"/>
        <v>1113728.1890659865</v>
      </c>
      <c r="W992" s="3">
        <f t="shared" si="243"/>
        <v>-27729.29184651628</v>
      </c>
      <c r="X992" s="3">
        <f t="shared" si="244"/>
        <v>2283.0966947300608</v>
      </c>
      <c r="Y992" s="3">
        <f t="shared" si="245"/>
        <v>14604607.768054154</v>
      </c>
      <c r="Z992" s="3">
        <f t="shared" si="246"/>
        <v>-1105086.5342312232</v>
      </c>
      <c r="AA992" s="3">
        <f t="shared" si="247"/>
        <v>14646357.373314599</v>
      </c>
      <c r="AB992" s="3">
        <f t="shared" si="252"/>
        <v>14564607.768054154</v>
      </c>
      <c r="AC992" s="3">
        <f t="shared" si="253"/>
        <v>-1102586.5342312232</v>
      </c>
      <c r="AD992" s="3">
        <f t="shared" si="248"/>
        <v>14606282.774981849</v>
      </c>
      <c r="AE992" s="3">
        <f t="shared" si="254"/>
        <v>14579607.768054154</v>
      </c>
      <c r="AF992" s="3">
        <f t="shared" si="255"/>
        <v>-1127586.5342312232</v>
      </c>
      <c r="AG992" s="3">
        <f t="shared" si="249"/>
        <v>14623146.517165333</v>
      </c>
      <c r="AH992" s="3">
        <f t="shared" si="250"/>
        <v>5.7145930292939982E-3</v>
      </c>
      <c r="AI992" s="3">
        <f t="shared" si="251"/>
        <v>-4.3652063941689159E-4</v>
      </c>
    </row>
    <row r="993" spans="19:35" x14ac:dyDescent="0.3">
      <c r="S993" s="6">
        <v>976</v>
      </c>
      <c r="T993" s="4">
        <f t="shared" si="240"/>
        <v>488</v>
      </c>
      <c r="U993" s="3">
        <f t="shared" si="241"/>
        <v>-14612338.452626532</v>
      </c>
      <c r="V993" s="3">
        <f t="shared" si="242"/>
        <v>1114869.7373042216</v>
      </c>
      <c r="W993" s="3">
        <f t="shared" si="243"/>
        <v>-27726.503125117986</v>
      </c>
      <c r="X993" s="3">
        <f t="shared" si="244"/>
        <v>2282.8836726580253</v>
      </c>
      <c r="Y993" s="3">
        <f t="shared" si="245"/>
        <v>14618473.808131922</v>
      </c>
      <c r="Z993" s="3">
        <f t="shared" si="246"/>
        <v>-1106228.1890659865</v>
      </c>
      <c r="AA993" s="3">
        <f t="shared" si="247"/>
        <v>14660270.027708331</v>
      </c>
      <c r="AB993" s="3">
        <f t="shared" si="252"/>
        <v>14578473.808131922</v>
      </c>
      <c r="AC993" s="3">
        <f t="shared" si="253"/>
        <v>-1103728.1890659865</v>
      </c>
      <c r="AD993" s="3">
        <f t="shared" si="248"/>
        <v>14620195.432678981</v>
      </c>
      <c r="AE993" s="3">
        <f t="shared" si="254"/>
        <v>14593473.808131922</v>
      </c>
      <c r="AF993" s="3">
        <f t="shared" si="255"/>
        <v>-1128728.1890659865</v>
      </c>
      <c r="AG993" s="3">
        <f t="shared" si="249"/>
        <v>14637059.305523928</v>
      </c>
      <c r="AH993" s="3">
        <f t="shared" si="250"/>
        <v>5.7037376433100254E-3</v>
      </c>
      <c r="AI993" s="3">
        <f t="shared" si="251"/>
        <v>-4.3572363687293856E-4</v>
      </c>
    </row>
    <row r="994" spans="19:35" x14ac:dyDescent="0.3">
      <c r="S994" s="6">
        <v>977</v>
      </c>
      <c r="T994" s="4">
        <f t="shared" si="240"/>
        <v>488.5</v>
      </c>
      <c r="U994" s="3">
        <f t="shared" si="241"/>
        <v>-14626201.702763155</v>
      </c>
      <c r="V994" s="3">
        <f t="shared" si="242"/>
        <v>1116011.1790316196</v>
      </c>
      <c r="W994" s="3">
        <f t="shared" si="243"/>
        <v>-27723.71684927923</v>
      </c>
      <c r="X994" s="3">
        <f t="shared" si="244"/>
        <v>2282.6708216614129</v>
      </c>
      <c r="Y994" s="3">
        <f t="shared" si="245"/>
        <v>14632338.452626532</v>
      </c>
      <c r="Z994" s="3">
        <f t="shared" si="246"/>
        <v>-1107369.7373042216</v>
      </c>
      <c r="AA994" s="3">
        <f t="shared" si="247"/>
        <v>14674181.283032803</v>
      </c>
      <c r="AB994" s="3">
        <f t="shared" si="252"/>
        <v>14592338.452626532</v>
      </c>
      <c r="AC994" s="3">
        <f t="shared" si="253"/>
        <v>-1104869.7373042216</v>
      </c>
      <c r="AD994" s="3">
        <f t="shared" si="248"/>
        <v>14634106.691302123</v>
      </c>
      <c r="AE994" s="3">
        <f t="shared" si="254"/>
        <v>14607338.452626532</v>
      </c>
      <c r="AF994" s="3">
        <f t="shared" si="255"/>
        <v>-1129869.7373042216</v>
      </c>
      <c r="AG994" s="3">
        <f t="shared" si="249"/>
        <v>14650970.694560057</v>
      </c>
      <c r="AH994" s="3">
        <f t="shared" si="250"/>
        <v>5.692914245803312E-3</v>
      </c>
      <c r="AI994" s="3">
        <f t="shared" si="251"/>
        <v>-4.3492889462349118E-4</v>
      </c>
    </row>
    <row r="995" spans="19:35" x14ac:dyDescent="0.3">
      <c r="S995" s="6">
        <v>978</v>
      </c>
      <c r="T995" s="4">
        <f t="shared" si="240"/>
        <v>489</v>
      </c>
      <c r="U995" s="3">
        <f t="shared" si="241"/>
        <v>-14640063.559764566</v>
      </c>
      <c r="V995" s="3">
        <f t="shared" si="242"/>
        <v>1117152.5143337182</v>
      </c>
      <c r="W995" s="3">
        <f t="shared" si="243"/>
        <v>-27720.933014213031</v>
      </c>
      <c r="X995" s="3">
        <f t="shared" si="244"/>
        <v>2282.4581414319418</v>
      </c>
      <c r="Y995" s="3">
        <f t="shared" si="245"/>
        <v>14646201.702763155</v>
      </c>
      <c r="Z995" s="3">
        <f t="shared" si="246"/>
        <v>-1108511.1790316196</v>
      </c>
      <c r="AA995" s="3">
        <f t="shared" si="247"/>
        <v>14688091.140514495</v>
      </c>
      <c r="AB995" s="3">
        <f t="shared" si="252"/>
        <v>14606201.702763155</v>
      </c>
      <c r="AC995" s="3">
        <f t="shared" si="253"/>
        <v>-1106011.1790316196</v>
      </c>
      <c r="AD995" s="3">
        <f t="shared" si="248"/>
        <v>14648016.552077765</v>
      </c>
      <c r="AE995" s="3">
        <f t="shared" si="254"/>
        <v>14621201.702763155</v>
      </c>
      <c r="AF995" s="3">
        <f t="shared" si="255"/>
        <v>-1131011.1790316196</v>
      </c>
      <c r="AG995" s="3">
        <f t="shared" si="249"/>
        <v>14664880.685500946</v>
      </c>
      <c r="AH995" s="3">
        <f t="shared" si="250"/>
        <v>5.6821227093794514E-3</v>
      </c>
      <c r="AI995" s="3">
        <f t="shared" si="251"/>
        <v>-4.3413640400284572E-4</v>
      </c>
    </row>
    <row r="996" spans="19:35" x14ac:dyDescent="0.3">
      <c r="S996" s="6">
        <v>979</v>
      </c>
      <c r="T996" s="4">
        <f t="shared" si="240"/>
        <v>489.5</v>
      </c>
      <c r="U996" s="3">
        <f t="shared" si="241"/>
        <v>-14653924.024851141</v>
      </c>
      <c r="V996" s="3">
        <f t="shared" si="242"/>
        <v>1118293.7432959003</v>
      </c>
      <c r="W996" s="3">
        <f t="shared" si="243"/>
        <v>-27718.151615146791</v>
      </c>
      <c r="X996" s="3">
        <f t="shared" si="244"/>
        <v>2282.2456316621824</v>
      </c>
      <c r="Y996" s="3">
        <f t="shared" si="245"/>
        <v>14660063.559764566</v>
      </c>
      <c r="Z996" s="3">
        <f t="shared" si="246"/>
        <v>-1109652.5143337182</v>
      </c>
      <c r="AA996" s="3">
        <f t="shared" si="247"/>
        <v>14701999.601377496</v>
      </c>
      <c r="AB996" s="3">
        <f t="shared" si="252"/>
        <v>14620063.559764566</v>
      </c>
      <c r="AC996" s="3">
        <f t="shared" si="253"/>
        <v>-1107152.5143337182</v>
      </c>
      <c r="AD996" s="3">
        <f t="shared" si="248"/>
        <v>14661925.016230004</v>
      </c>
      <c r="AE996" s="3">
        <f t="shared" si="254"/>
        <v>14635063.559764566</v>
      </c>
      <c r="AF996" s="3">
        <f t="shared" si="255"/>
        <v>-1132152.5143337182</v>
      </c>
      <c r="AG996" s="3">
        <f t="shared" si="249"/>
        <v>14678789.27957142</v>
      </c>
      <c r="AH996" s="3">
        <f t="shared" si="250"/>
        <v>5.671362907282527E-3</v>
      </c>
      <c r="AI996" s="3">
        <f t="shared" si="251"/>
        <v>-4.3334615638710111E-4</v>
      </c>
    </row>
    <row r="997" spans="19:35" x14ac:dyDescent="0.3">
      <c r="S997" s="6">
        <v>980</v>
      </c>
      <c r="T997" s="4">
        <f t="shared" si="240"/>
        <v>490</v>
      </c>
      <c r="U997" s="3">
        <f t="shared" si="241"/>
        <v>-14667783.099240875</v>
      </c>
      <c r="V997" s="3">
        <f t="shared" si="242"/>
        <v>1119434.8660033948</v>
      </c>
      <c r="W997" s="3">
        <f t="shared" si="243"/>
        <v>-27715.372647322223</v>
      </c>
      <c r="X997" s="3">
        <f t="shared" si="244"/>
        <v>2282.0332920455526</v>
      </c>
      <c r="Y997" s="3">
        <f t="shared" si="245"/>
        <v>14673924.024851141</v>
      </c>
      <c r="Z997" s="3">
        <f t="shared" si="246"/>
        <v>-1110793.7432959003</v>
      </c>
      <c r="AA997" s="3">
        <f t="shared" si="247"/>
        <v>14715906.666843496</v>
      </c>
      <c r="AB997" s="3">
        <f t="shared" si="252"/>
        <v>14633924.024851141</v>
      </c>
      <c r="AC997" s="3">
        <f t="shared" si="253"/>
        <v>-1108293.7432959003</v>
      </c>
      <c r="AD997" s="3">
        <f t="shared" si="248"/>
        <v>14675832.08498054</v>
      </c>
      <c r="AE997" s="3">
        <f t="shared" si="254"/>
        <v>14648924.024851141</v>
      </c>
      <c r="AF997" s="3">
        <f t="shared" si="255"/>
        <v>-1133293.7432959003</v>
      </c>
      <c r="AG997" s="3">
        <f t="shared" si="249"/>
        <v>14692696.477993907</v>
      </c>
      <c r="AH997" s="3">
        <f t="shared" si="250"/>
        <v>5.660634713391486E-3</v>
      </c>
      <c r="AI997" s="3">
        <f t="shared" si="251"/>
        <v>-4.3255814319393337E-4</v>
      </c>
    </row>
    <row r="998" spans="19:35" x14ac:dyDescent="0.3">
      <c r="S998" s="6">
        <v>981</v>
      </c>
      <c r="T998" s="4">
        <f t="shared" si="240"/>
        <v>490.5</v>
      </c>
      <c r="U998" s="3">
        <f t="shared" si="241"/>
        <v>-14681640.784149377</v>
      </c>
      <c r="V998" s="3">
        <f t="shared" si="242"/>
        <v>1120575.8825412779</v>
      </c>
      <c r="W998" s="3">
        <f t="shared" si="243"/>
        <v>-27712.596105995304</v>
      </c>
      <c r="X998" s="3">
        <f t="shared" si="244"/>
        <v>2281.8211222763161</v>
      </c>
      <c r="Y998" s="3">
        <f t="shared" si="245"/>
        <v>14687783.099240875</v>
      </c>
      <c r="Z998" s="3">
        <f t="shared" si="246"/>
        <v>-1111934.8660033948</v>
      </c>
      <c r="AA998" s="3">
        <f t="shared" si="247"/>
        <v>14729812.338131802</v>
      </c>
      <c r="AB998" s="3">
        <f t="shared" si="252"/>
        <v>14647783.099240875</v>
      </c>
      <c r="AC998" s="3">
        <f t="shared" si="253"/>
        <v>-1109434.8660033948</v>
      </c>
      <c r="AD998" s="3">
        <f t="shared" si="248"/>
        <v>14689737.75954869</v>
      </c>
      <c r="AE998" s="3">
        <f t="shared" si="254"/>
        <v>14662783.099240875</v>
      </c>
      <c r="AF998" s="3">
        <f t="shared" si="255"/>
        <v>-1134434.8660033948</v>
      </c>
      <c r="AG998" s="3">
        <f t="shared" si="249"/>
        <v>14706602.281988453</v>
      </c>
      <c r="AH998" s="3">
        <f t="shared" si="250"/>
        <v>5.6499380022161641E-3</v>
      </c>
      <c r="AI998" s="3">
        <f t="shared" si="251"/>
        <v>-4.3177235588234342E-4</v>
      </c>
    </row>
    <row r="999" spans="19:35" x14ac:dyDescent="0.3">
      <c r="S999" s="6">
        <v>982</v>
      </c>
      <c r="T999" s="4">
        <f t="shared" si="240"/>
        <v>491</v>
      </c>
      <c r="U999" s="3">
        <f t="shared" si="241"/>
        <v>-14695497.08078989</v>
      </c>
      <c r="V999" s="3">
        <f t="shared" si="242"/>
        <v>1121716.7929944729</v>
      </c>
      <c r="W999" s="3">
        <f t="shared" si="243"/>
        <v>-27709.821986436215</v>
      </c>
      <c r="X999" s="3">
        <f t="shared" si="244"/>
        <v>2281.6091220495778</v>
      </c>
      <c r="Y999" s="3">
        <f t="shared" si="245"/>
        <v>14701640.784149377</v>
      </c>
      <c r="Z999" s="3">
        <f t="shared" si="246"/>
        <v>-1113075.8825412779</v>
      </c>
      <c r="AA999" s="3">
        <f t="shared" si="247"/>
        <v>14743716.616459344</v>
      </c>
      <c r="AB999" s="3">
        <f t="shared" si="252"/>
        <v>14661640.784149377</v>
      </c>
      <c r="AC999" s="3">
        <f t="shared" si="253"/>
        <v>-1110575.8825412779</v>
      </c>
      <c r="AD999" s="3">
        <f t="shared" si="248"/>
        <v>14703642.041151393</v>
      </c>
      <c r="AE999" s="3">
        <f t="shared" si="254"/>
        <v>14676640.784149377</v>
      </c>
      <c r="AF999" s="3">
        <f t="shared" si="255"/>
        <v>-1135575.8825412779</v>
      </c>
      <c r="AG999" s="3">
        <f t="shared" si="249"/>
        <v>14720506.692772713</v>
      </c>
      <c r="AH999" s="3">
        <f t="shared" si="250"/>
        <v>5.6392726488936167E-3</v>
      </c>
      <c r="AI999" s="3">
        <f t="shared" si="251"/>
        <v>-4.3098878595242758E-4</v>
      </c>
    </row>
    <row r="1000" spans="19:35" x14ac:dyDescent="0.3">
      <c r="S1000" s="6">
        <v>983</v>
      </c>
      <c r="T1000" s="4">
        <f t="shared" si="240"/>
        <v>491.5</v>
      </c>
      <c r="U1000" s="3">
        <f t="shared" si="241"/>
        <v>-14709351.990373291</v>
      </c>
      <c r="V1000" s="3">
        <f t="shared" si="242"/>
        <v>1122857.5974477504</v>
      </c>
      <c r="W1000" s="3">
        <f t="shared" si="243"/>
        <v>-27707.050283929282</v>
      </c>
      <c r="X1000" s="3">
        <f t="shared" si="244"/>
        <v>2281.397291061282</v>
      </c>
      <c r="Y1000" s="3">
        <f t="shared" si="245"/>
        <v>14715497.08078989</v>
      </c>
      <c r="Z1000" s="3">
        <f t="shared" si="246"/>
        <v>-1114216.7929944729</v>
      </c>
      <c r="AA1000" s="3">
        <f t="shared" si="247"/>
        <v>14757619.503040681</v>
      </c>
      <c r="AB1000" s="3">
        <f t="shared" si="252"/>
        <v>14675497.08078989</v>
      </c>
      <c r="AC1000" s="3">
        <f t="shared" si="253"/>
        <v>-1111716.7929944729</v>
      </c>
      <c r="AD1000" s="3">
        <f t="shared" si="248"/>
        <v>14717544.931003217</v>
      </c>
      <c r="AE1000" s="3">
        <f t="shared" si="254"/>
        <v>14690497.08078989</v>
      </c>
      <c r="AF1000" s="3">
        <f t="shared" si="255"/>
        <v>-1136716.7929944729</v>
      </c>
      <c r="AG1000" s="3">
        <f t="shared" si="249"/>
        <v>14734409.711561978</v>
      </c>
      <c r="AH1000" s="3">
        <f t="shared" si="250"/>
        <v>5.6286385291841323E-3</v>
      </c>
      <c r="AI1000" s="3">
        <f t="shared" si="251"/>
        <v>-4.3020742494512352E-4</v>
      </c>
    </row>
    <row r="1001" spans="19:35" x14ac:dyDescent="0.3">
      <c r="S1001" s="6">
        <v>984</v>
      </c>
      <c r="T1001" s="4">
        <f t="shared" si="240"/>
        <v>492</v>
      </c>
      <c r="U1001" s="3">
        <f t="shared" si="241"/>
        <v>-14723205.514108095</v>
      </c>
      <c r="V1001" s="3">
        <f t="shared" si="242"/>
        <v>1123998.2959857292</v>
      </c>
      <c r="W1001" s="3">
        <f t="shared" si="243"/>
        <v>-27704.280993772925</v>
      </c>
      <c r="X1001" s="3">
        <f t="shared" si="244"/>
        <v>2281.1856290082092</v>
      </c>
      <c r="Y1001" s="3">
        <f t="shared" si="245"/>
        <v>14729351.990373291</v>
      </c>
      <c r="Z1001" s="3">
        <f t="shared" si="246"/>
        <v>-1115357.5974477504</v>
      </c>
      <c r="AA1001" s="3">
        <f t="shared" si="247"/>
        <v>14771520.99908801</v>
      </c>
      <c r="AB1001" s="3">
        <f t="shared" si="252"/>
        <v>14689351.990373291</v>
      </c>
      <c r="AC1001" s="3">
        <f t="shared" si="253"/>
        <v>-1112857.5974477504</v>
      </c>
      <c r="AD1001" s="3">
        <f t="shared" si="248"/>
        <v>14731446.430316372</v>
      </c>
      <c r="AE1001" s="3">
        <f t="shared" si="254"/>
        <v>14704351.990373291</v>
      </c>
      <c r="AF1001" s="3">
        <f t="shared" si="255"/>
        <v>-1137857.5974477504</v>
      </c>
      <c r="AG1001" s="3">
        <f t="shared" si="249"/>
        <v>14748311.339569168</v>
      </c>
      <c r="AH1001" s="3">
        <f t="shared" si="250"/>
        <v>5.6180355194676984E-3</v>
      </c>
      <c r="AI1001" s="3">
        <f t="shared" si="251"/>
        <v>-4.2942826444198993E-4</v>
      </c>
    </row>
    <row r="1002" spans="19:35" x14ac:dyDescent="0.3">
      <c r="S1002" s="6">
        <v>985</v>
      </c>
      <c r="T1002" s="4">
        <f t="shared" si="240"/>
        <v>492.5</v>
      </c>
      <c r="U1002" s="3">
        <f t="shared" si="241"/>
        <v>-14737057.653200474</v>
      </c>
      <c r="V1002" s="3">
        <f t="shared" si="242"/>
        <v>1125138.8886928763</v>
      </c>
      <c r="W1002" s="3">
        <f t="shared" si="243"/>
        <v>-27701.514111279586</v>
      </c>
      <c r="X1002" s="3">
        <f t="shared" si="244"/>
        <v>2280.9741355879714</v>
      </c>
      <c r="Y1002" s="3">
        <f t="shared" si="245"/>
        <v>14743205.514108095</v>
      </c>
      <c r="Z1002" s="3">
        <f t="shared" si="246"/>
        <v>-1116498.2959857292</v>
      </c>
      <c r="AA1002" s="3">
        <f t="shared" si="247"/>
        <v>14785421.105811169</v>
      </c>
      <c r="AB1002" s="3">
        <f t="shared" si="252"/>
        <v>14703205.514108095</v>
      </c>
      <c r="AC1002" s="3">
        <f t="shared" si="253"/>
        <v>-1113998.2959857292</v>
      </c>
      <c r="AD1002" s="3">
        <f t="shared" si="248"/>
        <v>14745346.540300699</v>
      </c>
      <c r="AE1002" s="3">
        <f t="shared" si="254"/>
        <v>14718205.514108095</v>
      </c>
      <c r="AF1002" s="3">
        <f t="shared" si="255"/>
        <v>-1138998.2959857292</v>
      </c>
      <c r="AG1002" s="3">
        <f t="shared" si="249"/>
        <v>14762211.578004846</v>
      </c>
      <c r="AH1002" s="3">
        <f t="shared" si="250"/>
        <v>5.6074634967401542E-3</v>
      </c>
      <c r="AI1002" s="3">
        <f t="shared" si="251"/>
        <v>-4.2865129606496269E-4</v>
      </c>
    </row>
    <row r="1003" spans="19:35" x14ac:dyDescent="0.3">
      <c r="S1003" s="6">
        <v>986</v>
      </c>
      <c r="T1003" s="4">
        <f t="shared" si="240"/>
        <v>493</v>
      </c>
      <c r="U1003" s="3">
        <f t="shared" si="241"/>
        <v>-14750908.408854248</v>
      </c>
      <c r="V1003" s="3">
        <f t="shared" si="242"/>
        <v>1126279.3756535074</v>
      </c>
      <c r="W1003" s="3">
        <f t="shared" si="243"/>
        <v>-27698.749631775692</v>
      </c>
      <c r="X1003" s="3">
        <f t="shared" si="244"/>
        <v>2280.7628104990113</v>
      </c>
      <c r="Y1003" s="3">
        <f t="shared" si="245"/>
        <v>14757057.653200474</v>
      </c>
      <c r="Z1003" s="3">
        <f t="shared" si="246"/>
        <v>-1117638.8886928763</v>
      </c>
      <c r="AA1003" s="3">
        <f t="shared" si="247"/>
        <v>14799319.824417653</v>
      </c>
      <c r="AB1003" s="3">
        <f t="shared" si="252"/>
        <v>14717057.653200474</v>
      </c>
      <c r="AC1003" s="3">
        <f t="shared" si="253"/>
        <v>-1115138.8886928763</v>
      </c>
      <c r="AD1003" s="3">
        <f t="shared" si="248"/>
        <v>14759245.262163706</v>
      </c>
      <c r="AE1003" s="3">
        <f t="shared" si="254"/>
        <v>14732057.653200474</v>
      </c>
      <c r="AF1003" s="3">
        <f t="shared" si="255"/>
        <v>-1140138.8886928763</v>
      </c>
      <c r="AG1003" s="3">
        <f t="shared" si="249"/>
        <v>14776110.428077223</v>
      </c>
      <c r="AH1003" s="3">
        <f t="shared" si="250"/>
        <v>5.5969223386095439E-3</v>
      </c>
      <c r="AI1003" s="3">
        <f t="shared" si="251"/>
        <v>-4.2787651147612523E-4</v>
      </c>
    </row>
    <row r="1004" spans="19:35" x14ac:dyDescent="0.3">
      <c r="S1004" s="6">
        <v>987</v>
      </c>
      <c r="T1004" s="4">
        <f t="shared" si="240"/>
        <v>493.5</v>
      </c>
      <c r="U1004" s="3">
        <f t="shared" si="241"/>
        <v>-14764757.782270906</v>
      </c>
      <c r="V1004" s="3">
        <f t="shared" si="242"/>
        <v>1127419.7569517877</v>
      </c>
      <c r="W1004" s="3">
        <f t="shared" si="243"/>
        <v>-27695.987550601589</v>
      </c>
      <c r="X1004" s="3">
        <f t="shared" si="244"/>
        <v>2280.5516534405979</v>
      </c>
      <c r="Y1004" s="3">
        <f t="shared" si="245"/>
        <v>14770908.408854248</v>
      </c>
      <c r="Z1004" s="3">
        <f t="shared" si="246"/>
        <v>-1118779.3756535074</v>
      </c>
      <c r="AA1004" s="3">
        <f t="shared" si="247"/>
        <v>14813217.156112604</v>
      </c>
      <c r="AB1004" s="3">
        <f t="shared" si="252"/>
        <v>14730908.408854248</v>
      </c>
      <c r="AC1004" s="3">
        <f t="shared" si="253"/>
        <v>-1116279.3756535074</v>
      </c>
      <c r="AD1004" s="3">
        <f t="shared" si="248"/>
        <v>14773142.597110547</v>
      </c>
      <c r="AE1004" s="3">
        <f t="shared" si="254"/>
        <v>14745908.408854248</v>
      </c>
      <c r="AF1004" s="3">
        <f t="shared" si="255"/>
        <v>-1141279.3756535074</v>
      </c>
      <c r="AG1004" s="3">
        <f t="shared" si="249"/>
        <v>14790007.890992163</v>
      </c>
      <c r="AH1004" s="3">
        <f t="shared" si="250"/>
        <v>5.5864119232924706E-3</v>
      </c>
      <c r="AI1004" s="3">
        <f t="shared" si="251"/>
        <v>-4.2710390237747826E-4</v>
      </c>
    </row>
    <row r="1005" spans="19:35" x14ac:dyDescent="0.3">
      <c r="S1005" s="6">
        <v>988</v>
      </c>
      <c r="T1005" s="4">
        <f t="shared" si="240"/>
        <v>494</v>
      </c>
      <c r="U1005" s="3">
        <f t="shared" si="241"/>
        <v>-14778605.774649603</v>
      </c>
      <c r="V1005" s="3">
        <f t="shared" si="242"/>
        <v>1128560.0326717321</v>
      </c>
      <c r="W1005" s="3">
        <f t="shared" si="243"/>
        <v>-27693.227863111482</v>
      </c>
      <c r="X1005" s="3">
        <f t="shared" si="244"/>
        <v>2280.3406641128236</v>
      </c>
      <c r="Y1005" s="3">
        <f t="shared" si="245"/>
        <v>14784757.782270906</v>
      </c>
      <c r="Z1005" s="3">
        <f t="shared" si="246"/>
        <v>-1119919.7569517877</v>
      </c>
      <c r="AA1005" s="3">
        <f t="shared" si="247"/>
        <v>14827113.102098839</v>
      </c>
      <c r="AB1005" s="3">
        <f t="shared" si="252"/>
        <v>14744757.782270906</v>
      </c>
      <c r="AC1005" s="3">
        <f t="shared" si="253"/>
        <v>-1117419.7569517877</v>
      </c>
      <c r="AD1005" s="3">
        <f t="shared" si="248"/>
        <v>14787038.546344047</v>
      </c>
      <c r="AE1005" s="3">
        <f t="shared" si="254"/>
        <v>14759757.782270906</v>
      </c>
      <c r="AF1005" s="3">
        <f t="shared" si="255"/>
        <v>-1142419.7569517877</v>
      </c>
      <c r="AG1005" s="3">
        <f t="shared" si="249"/>
        <v>14803903.967953196</v>
      </c>
      <c r="AH1005" s="3">
        <f t="shared" si="250"/>
        <v>5.5759321296102674E-3</v>
      </c>
      <c r="AI1005" s="3">
        <f t="shared" si="251"/>
        <v>-4.2633346051069624E-4</v>
      </c>
    </row>
    <row r="1006" spans="19:35" x14ac:dyDescent="0.3">
      <c r="S1006" s="6">
        <v>989</v>
      </c>
      <c r="T1006" s="4">
        <f t="shared" si="240"/>
        <v>494.5</v>
      </c>
      <c r="U1006" s="3">
        <f t="shared" si="241"/>
        <v>-14792452.387187175</v>
      </c>
      <c r="V1006" s="3">
        <f t="shared" si="242"/>
        <v>1129700.2028972053</v>
      </c>
      <c r="W1006" s="3">
        <f t="shared" si="243"/>
        <v>-27690.470564673389</v>
      </c>
      <c r="X1006" s="3">
        <f t="shared" si="244"/>
        <v>2280.129842216601</v>
      </c>
      <c r="Y1006" s="3">
        <f t="shared" si="245"/>
        <v>14798605.774649603</v>
      </c>
      <c r="Z1006" s="3">
        <f t="shared" si="246"/>
        <v>-1121060.0326717321</v>
      </c>
      <c r="AA1006" s="3">
        <f t="shared" si="247"/>
        <v>14841007.663576841</v>
      </c>
      <c r="AB1006" s="3">
        <f t="shared" si="252"/>
        <v>14758605.774649603</v>
      </c>
      <c r="AC1006" s="3">
        <f t="shared" si="253"/>
        <v>-1118560.0326717321</v>
      </c>
      <c r="AD1006" s="3">
        <f t="shared" si="248"/>
        <v>14800933.111064695</v>
      </c>
      <c r="AE1006" s="3">
        <f t="shared" si="254"/>
        <v>14773605.774649603</v>
      </c>
      <c r="AF1006" s="3">
        <f t="shared" si="255"/>
        <v>-1143560.0326717321</v>
      </c>
      <c r="AG1006" s="3">
        <f t="shared" si="249"/>
        <v>14817798.660161512</v>
      </c>
      <c r="AH1006" s="3">
        <f t="shared" si="250"/>
        <v>5.565482836985684E-3</v>
      </c>
      <c r="AI1006" s="3">
        <f t="shared" si="251"/>
        <v>-4.2556517765692274E-4</v>
      </c>
    </row>
    <row r="1007" spans="19:35" x14ac:dyDescent="0.3">
      <c r="S1007" s="6">
        <v>990</v>
      </c>
      <c r="T1007" s="4">
        <f t="shared" si="240"/>
        <v>495</v>
      </c>
      <c r="U1007" s="3">
        <f t="shared" si="241"/>
        <v>-14806297.621078143</v>
      </c>
      <c r="V1007" s="3">
        <f t="shared" si="242"/>
        <v>1130840.2677119223</v>
      </c>
      <c r="W1007" s="3">
        <f t="shared" si="243"/>
        <v>-27687.715650669081</v>
      </c>
      <c r="X1007" s="3">
        <f t="shared" si="244"/>
        <v>2279.9191874536609</v>
      </c>
      <c r="Y1007" s="3">
        <f t="shared" si="245"/>
        <v>14812452.387187175</v>
      </c>
      <c r="Z1007" s="3">
        <f t="shared" si="246"/>
        <v>-1122200.2028972053</v>
      </c>
      <c r="AA1007" s="3">
        <f t="shared" si="247"/>
        <v>14854900.841744773</v>
      </c>
      <c r="AB1007" s="3">
        <f t="shared" si="252"/>
        <v>14772452.387187175</v>
      </c>
      <c r="AC1007" s="3">
        <f t="shared" si="253"/>
        <v>-1119700.2028972053</v>
      </c>
      <c r="AD1007" s="3">
        <f t="shared" si="248"/>
        <v>14814826.292470666</v>
      </c>
      <c r="AE1007" s="3">
        <f t="shared" si="254"/>
        <v>14787452.387187175</v>
      </c>
      <c r="AF1007" s="3">
        <f t="shared" si="255"/>
        <v>-1144700.2028972053</v>
      </c>
      <c r="AG1007" s="3">
        <f t="shared" si="249"/>
        <v>14831691.968815986</v>
      </c>
      <c r="AH1007" s="3">
        <f t="shared" si="250"/>
        <v>5.5550639254391011E-3</v>
      </c>
      <c r="AI1007" s="3">
        <f t="shared" si="251"/>
        <v>-4.2479904563652679E-4</v>
      </c>
    </row>
    <row r="1008" spans="19:35" x14ac:dyDescent="0.3">
      <c r="S1008" s="6">
        <v>991</v>
      </c>
      <c r="T1008" s="4">
        <f t="shared" si="240"/>
        <v>495.5</v>
      </c>
      <c r="U1008" s="3">
        <f t="shared" si="241"/>
        <v>-14820141.477514712</v>
      </c>
      <c r="V1008" s="3">
        <f t="shared" si="242"/>
        <v>1131980.2271994492</v>
      </c>
      <c r="W1008" s="3">
        <f t="shared" si="243"/>
        <v>-27684.963116494026</v>
      </c>
      <c r="X1008" s="3">
        <f t="shared" si="244"/>
        <v>2279.7086995265481</v>
      </c>
      <c r="Y1008" s="3">
        <f t="shared" si="245"/>
        <v>14826297.621078143</v>
      </c>
      <c r="Z1008" s="3">
        <f t="shared" si="246"/>
        <v>-1123340.2677119223</v>
      </c>
      <c r="AA1008" s="3">
        <f t="shared" si="247"/>
        <v>14868792.637798488</v>
      </c>
      <c r="AB1008" s="3">
        <f t="shared" si="252"/>
        <v>14786297.621078143</v>
      </c>
      <c r="AC1008" s="3">
        <f t="shared" si="253"/>
        <v>-1120840.2677119223</v>
      </c>
      <c r="AD1008" s="3">
        <f t="shared" si="248"/>
        <v>14828718.091757821</v>
      </c>
      <c r="AE1008" s="3">
        <f t="shared" si="254"/>
        <v>14801297.621078143</v>
      </c>
      <c r="AF1008" s="3">
        <f t="shared" si="255"/>
        <v>-1145840.2677119223</v>
      </c>
      <c r="AG1008" s="3">
        <f t="shared" si="249"/>
        <v>14845583.895113174</v>
      </c>
      <c r="AH1008" s="3">
        <f t="shared" si="250"/>
        <v>5.5446752755848811E-3</v>
      </c>
      <c r="AI1008" s="3">
        <f t="shared" si="251"/>
        <v>-4.2403505630887365E-4</v>
      </c>
    </row>
    <row r="1009" spans="19:35" x14ac:dyDescent="0.3">
      <c r="S1009" s="6">
        <v>992</v>
      </c>
      <c r="T1009" s="4">
        <f t="shared" si="240"/>
        <v>496</v>
      </c>
      <c r="U1009" s="3">
        <f t="shared" si="241"/>
        <v>-14833983.957686789</v>
      </c>
      <c r="V1009" s="3">
        <f t="shared" si="242"/>
        <v>1133120.0814432038</v>
      </c>
      <c r="W1009" s="3">
        <f t="shared" si="243"/>
        <v>-27682.212957557334</v>
      </c>
      <c r="X1009" s="3">
        <f t="shared" si="244"/>
        <v>2279.498378138619</v>
      </c>
      <c r="Y1009" s="3">
        <f t="shared" si="245"/>
        <v>14840141.477514712</v>
      </c>
      <c r="Z1009" s="3">
        <f t="shared" si="246"/>
        <v>-1124480.2271994492</v>
      </c>
      <c r="AA1009" s="3">
        <f t="shared" si="247"/>
        <v>14882683.052931519</v>
      </c>
      <c r="AB1009" s="3">
        <f t="shared" si="252"/>
        <v>14800141.477514712</v>
      </c>
      <c r="AC1009" s="3">
        <f t="shared" si="253"/>
        <v>-1121980.2271994492</v>
      </c>
      <c r="AD1009" s="3">
        <f t="shared" si="248"/>
        <v>14842608.510119706</v>
      </c>
      <c r="AE1009" s="3">
        <f t="shared" si="254"/>
        <v>14815141.477514712</v>
      </c>
      <c r="AF1009" s="3">
        <f t="shared" si="255"/>
        <v>-1146980.2271994492</v>
      </c>
      <c r="AG1009" s="3">
        <f t="shared" si="249"/>
        <v>14859474.440247318</v>
      </c>
      <c r="AH1009" s="3">
        <f t="shared" si="250"/>
        <v>5.534316768628058E-3</v>
      </c>
      <c r="AI1009" s="3">
        <f t="shared" si="251"/>
        <v>-4.2327320157211712E-4</v>
      </c>
    </row>
    <row r="1010" spans="19:35" x14ac:dyDescent="0.3">
      <c r="S1010" s="6">
        <v>993</v>
      </c>
      <c r="T1010" s="4">
        <f t="shared" si="240"/>
        <v>496.5</v>
      </c>
      <c r="U1010" s="3">
        <f t="shared" si="241"/>
        <v>-14847825.06278199</v>
      </c>
      <c r="V1010" s="3">
        <f t="shared" si="242"/>
        <v>1134259.8305264548</v>
      </c>
      <c r="W1010" s="3">
        <f t="shared" si="243"/>
        <v>-27679.46516928171</v>
      </c>
      <c r="X1010" s="3">
        <f t="shared" si="244"/>
        <v>2279.2882229940383</v>
      </c>
      <c r="Y1010" s="3">
        <f t="shared" si="245"/>
        <v>14853983.957686789</v>
      </c>
      <c r="Z1010" s="3">
        <f t="shared" si="246"/>
        <v>-1125620.0814432038</v>
      </c>
      <c r="AA1010" s="3">
        <f t="shared" si="247"/>
        <v>14896572.088335112</v>
      </c>
      <c r="AB1010" s="3">
        <f t="shared" si="252"/>
        <v>14813983.957686789</v>
      </c>
      <c r="AC1010" s="3">
        <f t="shared" si="253"/>
        <v>-1123120.0814432038</v>
      </c>
      <c r="AD1010" s="3">
        <f t="shared" si="248"/>
        <v>14856497.548747569</v>
      </c>
      <c r="AE1010" s="3">
        <f t="shared" si="254"/>
        <v>14828983.957686789</v>
      </c>
      <c r="AF1010" s="3">
        <f t="shared" si="255"/>
        <v>-1148120.0814432038</v>
      </c>
      <c r="AG1010" s="3">
        <f t="shared" si="249"/>
        <v>14873363.605410354</v>
      </c>
      <c r="AH1010" s="3">
        <f t="shared" si="250"/>
        <v>5.5239882863606232E-3</v>
      </c>
      <c r="AI1010" s="3">
        <f t="shared" si="251"/>
        <v>-4.225134733629631E-4</v>
      </c>
    </row>
    <row r="1011" spans="19:35" x14ac:dyDescent="0.3">
      <c r="S1011" s="6">
        <v>994</v>
      </c>
      <c r="T1011" s="4">
        <f t="shared" si="240"/>
        <v>497</v>
      </c>
      <c r="U1011" s="3">
        <f t="shared" si="241"/>
        <v>-14861664.793985633</v>
      </c>
      <c r="V1011" s="3">
        <f t="shared" si="242"/>
        <v>1135399.4745323237</v>
      </c>
      <c r="W1011" s="3">
        <f t="shared" si="243"/>
        <v>-27676.719747103387</v>
      </c>
      <c r="X1011" s="3">
        <f t="shared" si="244"/>
        <v>2279.0782337977771</v>
      </c>
      <c r="Y1011" s="3">
        <f t="shared" si="245"/>
        <v>14867825.06278199</v>
      </c>
      <c r="Z1011" s="3">
        <f t="shared" si="246"/>
        <v>-1126759.8305264548</v>
      </c>
      <c r="AA1011" s="3">
        <f t="shared" si="247"/>
        <v>14910459.745198211</v>
      </c>
      <c r="AB1011" s="3">
        <f t="shared" si="252"/>
        <v>14827825.06278199</v>
      </c>
      <c r="AC1011" s="3">
        <f t="shared" si="253"/>
        <v>-1124259.8305264548</v>
      </c>
      <c r="AD1011" s="3">
        <f t="shared" si="248"/>
        <v>14870385.208830371</v>
      </c>
      <c r="AE1011" s="3">
        <f t="shared" si="254"/>
        <v>14842825.06278199</v>
      </c>
      <c r="AF1011" s="3">
        <f t="shared" si="255"/>
        <v>-1149259.8305264548</v>
      </c>
      <c r="AG1011" s="3">
        <f t="shared" si="249"/>
        <v>14887251.391791934</v>
      </c>
      <c r="AH1011" s="3">
        <f t="shared" si="250"/>
        <v>5.5136897111580825E-3</v>
      </c>
      <c r="AI1011" s="3">
        <f t="shared" si="251"/>
        <v>-4.2175586365645148E-4</v>
      </c>
    </row>
    <row r="1012" spans="19:35" x14ac:dyDescent="0.3">
      <c r="S1012" s="6">
        <v>995</v>
      </c>
      <c r="T1012" s="4">
        <f t="shared" si="240"/>
        <v>497.5</v>
      </c>
      <c r="U1012" s="3">
        <f t="shared" si="241"/>
        <v>-14875503.152480762</v>
      </c>
      <c r="V1012" s="3">
        <f t="shared" si="242"/>
        <v>1136539.0135437835</v>
      </c>
      <c r="W1012" s="3">
        <f t="shared" si="243"/>
        <v>-27673.976686472084</v>
      </c>
      <c r="X1012" s="3">
        <f t="shared" si="244"/>
        <v>2278.8684102556081</v>
      </c>
      <c r="Y1012" s="3">
        <f t="shared" si="245"/>
        <v>14881664.793985633</v>
      </c>
      <c r="Z1012" s="3">
        <f t="shared" si="246"/>
        <v>-1127899.4745323237</v>
      </c>
      <c r="AA1012" s="3">
        <f t="shared" si="247"/>
        <v>14924346.024707474</v>
      </c>
      <c r="AB1012" s="3">
        <f t="shared" si="252"/>
        <v>14841664.793985633</v>
      </c>
      <c r="AC1012" s="3">
        <f t="shared" si="253"/>
        <v>-1125399.4745323237</v>
      </c>
      <c r="AD1012" s="3">
        <f t="shared" si="248"/>
        <v>14884271.491554776</v>
      </c>
      <c r="AE1012" s="3">
        <f t="shared" si="254"/>
        <v>14856664.793985633</v>
      </c>
      <c r="AF1012" s="3">
        <f t="shared" si="255"/>
        <v>-1150399.4745323237</v>
      </c>
      <c r="AG1012" s="3">
        <f t="shared" si="249"/>
        <v>14901137.800579404</v>
      </c>
      <c r="AH1012" s="3">
        <f t="shared" si="250"/>
        <v>5.5034209259760686E-3</v>
      </c>
      <c r="AI1012" s="3">
        <f t="shared" si="251"/>
        <v>-4.2100036446574452E-4</v>
      </c>
    </row>
    <row r="1013" spans="19:35" x14ac:dyDescent="0.3">
      <c r="S1013" s="6">
        <v>996</v>
      </c>
      <c r="T1013" s="4">
        <f t="shared" si="240"/>
        <v>498</v>
      </c>
      <c r="U1013" s="3">
        <f t="shared" si="241"/>
        <v>-14889340.139448144</v>
      </c>
      <c r="V1013" s="3">
        <f t="shared" si="242"/>
        <v>1137678.4476436612</v>
      </c>
      <c r="W1013" s="3">
        <f t="shared" si="243"/>
        <v>-27671.235982850947</v>
      </c>
      <c r="X1013" s="3">
        <f t="shared" si="244"/>
        <v>2278.6587520741041</v>
      </c>
      <c r="Y1013" s="3">
        <f t="shared" si="245"/>
        <v>14895503.152480762</v>
      </c>
      <c r="Z1013" s="3">
        <f t="shared" si="246"/>
        <v>-1129039.0135437835</v>
      </c>
      <c r="AA1013" s="3">
        <f t="shared" si="247"/>
        <v>14938230.928047279</v>
      </c>
      <c r="AB1013" s="3">
        <f t="shared" si="252"/>
        <v>14855503.152480762</v>
      </c>
      <c r="AC1013" s="3">
        <f t="shared" si="253"/>
        <v>-1126539.0135437835</v>
      </c>
      <c r="AD1013" s="3">
        <f t="shared" si="248"/>
        <v>14898156.398105172</v>
      </c>
      <c r="AE1013" s="3">
        <f t="shared" si="254"/>
        <v>14870503.152480762</v>
      </c>
      <c r="AF1013" s="3">
        <f t="shared" si="255"/>
        <v>-1151539.0135437835</v>
      </c>
      <c r="AG1013" s="3">
        <f t="shared" si="249"/>
        <v>14915022.832957838</v>
      </c>
      <c r="AH1013" s="3">
        <f t="shared" si="250"/>
        <v>5.4931818143468293E-3</v>
      </c>
      <c r="AI1013" s="3">
        <f t="shared" si="251"/>
        <v>-4.2024696784190231E-4</v>
      </c>
    </row>
    <row r="1014" spans="19:35" x14ac:dyDescent="0.3">
      <c r="S1014" s="6">
        <v>997</v>
      </c>
      <c r="T1014" s="4">
        <f t="shared" si="240"/>
        <v>498.5</v>
      </c>
      <c r="U1014" s="3">
        <f t="shared" si="241"/>
        <v>-14903175.756066274</v>
      </c>
      <c r="V1014" s="3">
        <f t="shared" si="242"/>
        <v>1138817.7769146364</v>
      </c>
      <c r="W1014" s="3">
        <f t="shared" si="243"/>
        <v>-27668.497631716495</v>
      </c>
      <c r="X1014" s="3">
        <f t="shared" si="244"/>
        <v>2278.4492589606348</v>
      </c>
      <c r="Y1014" s="3">
        <f t="shared" si="245"/>
        <v>14909340.139448144</v>
      </c>
      <c r="Z1014" s="3">
        <f t="shared" si="246"/>
        <v>-1130178.4476436612</v>
      </c>
      <c r="AA1014" s="3">
        <f t="shared" si="247"/>
        <v>14952114.456399731</v>
      </c>
      <c r="AB1014" s="3">
        <f t="shared" si="252"/>
        <v>14869340.139448144</v>
      </c>
      <c r="AC1014" s="3">
        <f t="shared" si="253"/>
        <v>-1127678.4476436612</v>
      </c>
      <c r="AD1014" s="3">
        <f t="shared" si="248"/>
        <v>14912039.929663673</v>
      </c>
      <c r="AE1014" s="3">
        <f t="shared" si="254"/>
        <v>14884340.139448144</v>
      </c>
      <c r="AF1014" s="3">
        <f t="shared" si="255"/>
        <v>-1152678.4476436612</v>
      </c>
      <c r="AG1014" s="3">
        <f t="shared" si="249"/>
        <v>14928906.49011003</v>
      </c>
      <c r="AH1014" s="3">
        <f t="shared" si="250"/>
        <v>5.4829722603757288E-3</v>
      </c>
      <c r="AI1014" s="3">
        <f t="shared" si="251"/>
        <v>-4.1949566587366131E-4</v>
      </c>
    </row>
    <row r="1015" spans="19:35" x14ac:dyDescent="0.3">
      <c r="S1015" s="6">
        <v>998</v>
      </c>
      <c r="T1015" s="4">
        <f t="shared" si="240"/>
        <v>499</v>
      </c>
      <c r="U1015" s="3">
        <f t="shared" si="241"/>
        <v>-14917010.00351139</v>
      </c>
      <c r="V1015" s="3">
        <f t="shared" si="242"/>
        <v>1139957.0014392429</v>
      </c>
      <c r="W1015" s="3">
        <f t="shared" si="243"/>
        <v>-27665.761628558568</v>
      </c>
      <c r="X1015" s="3">
        <f t="shared" si="244"/>
        <v>2278.2399306233638</v>
      </c>
      <c r="Y1015" s="3">
        <f t="shared" si="245"/>
        <v>14923175.756066274</v>
      </c>
      <c r="Z1015" s="3">
        <f t="shared" si="246"/>
        <v>-1131317.7769146364</v>
      </c>
      <c r="AA1015" s="3">
        <f t="shared" si="247"/>
        <v>14965996.610944668</v>
      </c>
      <c r="AB1015" s="3">
        <f t="shared" si="252"/>
        <v>14883175.756066274</v>
      </c>
      <c r="AC1015" s="3">
        <f t="shared" si="253"/>
        <v>-1128817.7769146364</v>
      </c>
      <c r="AD1015" s="3">
        <f t="shared" si="248"/>
        <v>14925922.087410124</v>
      </c>
      <c r="AE1015" s="3">
        <f t="shared" si="254"/>
        <v>14898175.756066274</v>
      </c>
      <c r="AF1015" s="3">
        <f t="shared" si="255"/>
        <v>-1153817.7769146364</v>
      </c>
      <c r="AG1015" s="3">
        <f t="shared" si="249"/>
        <v>14942788.773216501</v>
      </c>
      <c r="AH1015" s="3">
        <f t="shared" si="250"/>
        <v>5.4727921487379878E-3</v>
      </c>
      <c r="AI1015" s="3">
        <f t="shared" si="251"/>
        <v>-4.1874645068722962E-4</v>
      </c>
    </row>
    <row r="1016" spans="19:35" x14ac:dyDescent="0.3">
      <c r="S1016" s="6">
        <v>999</v>
      </c>
      <c r="T1016" s="4">
        <f t="shared" si="240"/>
        <v>499.5</v>
      </c>
      <c r="U1016" s="3">
        <f t="shared" si="241"/>
        <v>-14930842.88295747</v>
      </c>
      <c r="V1016" s="3">
        <f t="shared" si="242"/>
        <v>1141096.1212998678</v>
      </c>
      <c r="W1016" s="3">
        <f t="shared" si="243"/>
        <v>-27663.027968880273</v>
      </c>
      <c r="X1016" s="3">
        <f t="shared" si="244"/>
        <v>2278.0307667712455</v>
      </c>
      <c r="Y1016" s="3">
        <f t="shared" si="245"/>
        <v>14937010.00351139</v>
      </c>
      <c r="Z1016" s="3">
        <f t="shared" si="246"/>
        <v>-1132457.0014392429</v>
      </c>
      <c r="AA1016" s="3">
        <f t="shared" si="247"/>
        <v>14979877.392859664</v>
      </c>
      <c r="AB1016" s="3">
        <f t="shared" si="252"/>
        <v>14897010.00351139</v>
      </c>
      <c r="AC1016" s="3">
        <f t="shared" si="253"/>
        <v>-1129957.0014392429</v>
      </c>
      <c r="AD1016" s="3">
        <f t="shared" si="248"/>
        <v>14939802.872522112</v>
      </c>
      <c r="AE1016" s="3">
        <f t="shared" si="254"/>
        <v>14912010.00351139</v>
      </c>
      <c r="AF1016" s="3">
        <f t="shared" si="255"/>
        <v>-1154957.0014392429</v>
      </c>
      <c r="AG1016" s="3">
        <f t="shared" si="249"/>
        <v>14956669.683455514</v>
      </c>
      <c r="AH1016" s="3">
        <f t="shared" si="250"/>
        <v>5.46264136467521E-3</v>
      </c>
      <c r="AI1016" s="3">
        <f t="shared" si="251"/>
        <v>-4.1799931444606555E-4</v>
      </c>
    </row>
    <row r="1017" spans="19:35" x14ac:dyDescent="0.3">
      <c r="S1017" s="6">
        <v>1000</v>
      </c>
      <c r="T1017" s="4">
        <f t="shared" si="240"/>
        <v>500</v>
      </c>
      <c r="U1017" s="3">
        <f t="shared" si="241"/>
        <v>-14944674.39557625</v>
      </c>
      <c r="V1017" s="3">
        <f t="shared" si="242"/>
        <v>1142235.1365787536</v>
      </c>
      <c r="W1017" s="3">
        <f t="shared" si="243"/>
        <v>-27660.296648197935</v>
      </c>
      <c r="X1017" s="3">
        <f t="shared" si="244"/>
        <v>2277.8217671140224</v>
      </c>
      <c r="Y1017" s="3">
        <f t="shared" si="245"/>
        <v>14950842.88295747</v>
      </c>
      <c r="Z1017" s="3">
        <f t="shared" si="246"/>
        <v>-1133596.1212998678</v>
      </c>
      <c r="AA1017" s="3">
        <f t="shared" si="247"/>
        <v>14993756.803320045</v>
      </c>
      <c r="AB1017" s="3">
        <f t="shared" si="252"/>
        <v>14910842.88295747</v>
      </c>
      <c r="AC1017" s="3">
        <f t="shared" si="253"/>
        <v>-1131096.1212998678</v>
      </c>
      <c r="AD1017" s="3">
        <f t="shared" si="248"/>
        <v>14953682.286174968</v>
      </c>
      <c r="AE1017" s="3">
        <f t="shared" si="254"/>
        <v>14925842.88295747</v>
      </c>
      <c r="AF1017" s="3">
        <f t="shared" si="255"/>
        <v>-1156096.1212998678</v>
      </c>
      <c r="AG1017" s="3">
        <f t="shared" si="249"/>
        <v>14970549.222003071</v>
      </c>
      <c r="AH1017" s="3">
        <f t="shared" si="250"/>
        <v>5.4525197939920503E-3</v>
      </c>
      <c r="AI1017" s="3">
        <f t="shared" si="251"/>
        <v>-4.1725424935066722E-4</v>
      </c>
    </row>
  </sheetData>
  <mergeCells count="3">
    <mergeCell ref="U14:Y14"/>
    <mergeCell ref="B16:I16"/>
    <mergeCell ref="B2:C2"/>
  </mergeCell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55"/>
  <sheetViews>
    <sheetView topLeftCell="B9" zoomScaleNormal="100" workbookViewId="0">
      <selection activeCell="E20" sqref="E20"/>
    </sheetView>
  </sheetViews>
  <sheetFormatPr baseColWidth="10" defaultRowHeight="14.4" x14ac:dyDescent="0.3"/>
  <cols>
    <col min="1" max="1" width="12.6640625" customWidth="1"/>
    <col min="3" max="3" width="14.33203125" bestFit="1" customWidth="1"/>
  </cols>
  <sheetData>
    <row r="1" spans="1:5" ht="18" x14ac:dyDescent="0.35">
      <c r="A1" s="17" t="s">
        <v>39</v>
      </c>
      <c r="B1" s="18"/>
      <c r="C1" s="19"/>
    </row>
    <row r="2" spans="1:5" x14ac:dyDescent="0.3">
      <c r="A2" t="s">
        <v>36</v>
      </c>
      <c r="B2" t="s">
        <v>37</v>
      </c>
      <c r="C2" t="s">
        <v>38</v>
      </c>
    </row>
    <row r="3" spans="1:5" x14ac:dyDescent="0.3">
      <c r="A3">
        <v>1</v>
      </c>
      <c r="B3" s="6">
        <f>INDEX(Feuil1!U17:U1017,A3)</f>
        <v>0</v>
      </c>
      <c r="C3" s="6">
        <f>INDEX(Feuil1!V17:V1017,A3)</f>
        <v>0</v>
      </c>
    </row>
    <row r="4" spans="1:5" x14ac:dyDescent="0.3">
      <c r="A4" t="s">
        <v>42</v>
      </c>
    </row>
    <row r="5" spans="1:5" x14ac:dyDescent="0.3">
      <c r="A5">
        <v>1</v>
      </c>
    </row>
    <row r="6" spans="1:5" x14ac:dyDescent="0.3">
      <c r="A6">
        <v>1000</v>
      </c>
    </row>
    <row r="9" spans="1:5" ht="15.6" x14ac:dyDescent="0.3">
      <c r="A9" s="20" t="s">
        <v>2</v>
      </c>
      <c r="B9" s="21"/>
      <c r="C9" s="21"/>
      <c r="D9" s="22"/>
    </row>
    <row r="10" spans="1:5" x14ac:dyDescent="0.3">
      <c r="A10" t="s">
        <v>40</v>
      </c>
      <c r="B10" t="s">
        <v>37</v>
      </c>
      <c r="C10" t="s">
        <v>38</v>
      </c>
      <c r="D10" t="s">
        <v>41</v>
      </c>
    </row>
    <row r="11" spans="1:5" x14ac:dyDescent="0.3">
      <c r="A11">
        <v>0</v>
      </c>
      <c r="B11" s="6">
        <f>(COS(D11)*Feuil1!$C$21)+Feuil1!$C$19</f>
        <v>25000</v>
      </c>
      <c r="C11" s="6">
        <f>(SIN(D11)*Feuil1!$C$21)+Feuil1!$C$20</f>
        <v>7500</v>
      </c>
      <c r="D11" s="5">
        <f>((2*PI())/12)*A11</f>
        <v>0</v>
      </c>
      <c r="E11" s="3"/>
    </row>
    <row r="12" spans="1:5" x14ac:dyDescent="0.3">
      <c r="A12">
        <v>1</v>
      </c>
      <c r="B12" s="6">
        <f>(COS(D12)*Feuil1!$C$21)+Feuil1!$C$19</f>
        <v>24330.127018922194</v>
      </c>
      <c r="C12" s="6">
        <f>(SIN(D12)*Feuil1!$C$21)+Feuil1!$C$20</f>
        <v>10000</v>
      </c>
      <c r="D12" s="5">
        <f>((2*PI())/12)*A12</f>
        <v>0.52359877559829882</v>
      </c>
      <c r="E12" s="3"/>
    </row>
    <row r="13" spans="1:5" x14ac:dyDescent="0.3">
      <c r="A13">
        <v>2</v>
      </c>
      <c r="B13" s="6">
        <f>(COS(D13)*Feuil1!$C$21)+Feuil1!$C$19</f>
        <v>22500</v>
      </c>
      <c r="C13" s="6">
        <f>(SIN(D13)*Feuil1!$C$21)+Feuil1!$C$20</f>
        <v>11830.127018922194</v>
      </c>
      <c r="D13" s="5">
        <f t="shared" ref="D13:D23" si="0">((2*PI())/12)*A13</f>
        <v>1.0471975511965976</v>
      </c>
      <c r="E13" s="3"/>
    </row>
    <row r="14" spans="1:5" x14ac:dyDescent="0.3">
      <c r="A14">
        <v>3</v>
      </c>
      <c r="B14" s="6">
        <f>(COS(D14)*Feuil1!$C$21)+Feuil1!$C$19</f>
        <v>20000</v>
      </c>
      <c r="C14" s="6">
        <f>(SIN(D14)*Feuil1!$C$21)+Feuil1!$C$20</f>
        <v>12500</v>
      </c>
      <c r="D14" s="5">
        <f t="shared" si="0"/>
        <v>1.5707963267948966</v>
      </c>
      <c r="E14" s="3"/>
    </row>
    <row r="15" spans="1:5" x14ac:dyDescent="0.3">
      <c r="A15">
        <v>4</v>
      </c>
      <c r="B15" s="6">
        <f>(COS(D15)*Feuil1!$C$21)+Feuil1!$C$19</f>
        <v>17500</v>
      </c>
      <c r="C15" s="6">
        <f>(SIN(D15)*Feuil1!$C$21)+Feuil1!$C$20</f>
        <v>11830.127018922194</v>
      </c>
      <c r="D15" s="5">
        <f t="shared" si="0"/>
        <v>2.0943951023931953</v>
      </c>
      <c r="E15" s="3"/>
    </row>
    <row r="16" spans="1:5" x14ac:dyDescent="0.3">
      <c r="A16">
        <v>5</v>
      </c>
      <c r="B16" s="6">
        <f>(COS(D16)*Feuil1!$C$21)+Feuil1!$C$19</f>
        <v>15669.872981077808</v>
      </c>
      <c r="C16" s="6">
        <f>(SIN(D16)*Feuil1!$C$21)+Feuil1!$C$20</f>
        <v>10000.000000000002</v>
      </c>
      <c r="D16" s="5">
        <f t="shared" si="0"/>
        <v>2.617993877991494</v>
      </c>
      <c r="E16" s="3"/>
    </row>
    <row r="17" spans="1:5" x14ac:dyDescent="0.3">
      <c r="A17">
        <v>6</v>
      </c>
      <c r="B17" s="6">
        <f>(COS(D17)*Feuil1!$C$21)+Feuil1!$C$19</f>
        <v>15000</v>
      </c>
      <c r="C17" s="6">
        <f>(SIN(D17)*Feuil1!$C$21)+Feuil1!$C$20</f>
        <v>7500.0000000000009</v>
      </c>
      <c r="D17" s="5">
        <f t="shared" si="0"/>
        <v>3.1415926535897931</v>
      </c>
      <c r="E17" s="3"/>
    </row>
    <row r="18" spans="1:5" x14ac:dyDescent="0.3">
      <c r="A18">
        <v>7</v>
      </c>
      <c r="B18" s="6">
        <f>(COS(D18)*Feuil1!$C$21)+Feuil1!$C$19</f>
        <v>15669.872981077806</v>
      </c>
      <c r="C18" s="6">
        <f>(SIN(D18)*Feuil1!$C$21)+Feuil1!$C$20</f>
        <v>5000.0000000000018</v>
      </c>
      <c r="D18" s="5">
        <f t="shared" si="0"/>
        <v>3.6651914291880918</v>
      </c>
      <c r="E18" s="3"/>
    </row>
    <row r="19" spans="1:5" x14ac:dyDescent="0.3">
      <c r="A19">
        <v>8</v>
      </c>
      <c r="B19" s="6">
        <f>(COS(D19)*Feuil1!$C$21)+Feuil1!$C$19</f>
        <v>17499.999999999996</v>
      </c>
      <c r="C19" s="6">
        <f>(SIN(D19)*Feuil1!$C$21)+Feuil1!$C$20</f>
        <v>3169.8729810778077</v>
      </c>
      <c r="D19" s="5">
        <f t="shared" si="0"/>
        <v>4.1887902047863905</v>
      </c>
      <c r="E19" s="3"/>
    </row>
    <row r="20" spans="1:5" x14ac:dyDescent="0.3">
      <c r="A20">
        <v>9</v>
      </c>
      <c r="B20" s="6">
        <f>(COS(D20)*Feuil1!$C$21)+Feuil1!$C$19</f>
        <v>20000</v>
      </c>
      <c r="C20" s="6">
        <f>(SIN(D20)*Feuil1!$C$21)+Feuil1!$C$20</f>
        <v>2500</v>
      </c>
      <c r="D20" s="5">
        <f t="shared" si="0"/>
        <v>4.7123889803846897</v>
      </c>
      <c r="E20" s="3"/>
    </row>
    <row r="21" spans="1:5" x14ac:dyDescent="0.3">
      <c r="A21">
        <v>10</v>
      </c>
      <c r="B21" s="6">
        <f>(COS(D21)*Feuil1!$C$21)+Feuil1!$C$19</f>
        <v>22499.999999999996</v>
      </c>
      <c r="C21" s="6">
        <f>(SIN(D21)*Feuil1!$C$21)+Feuil1!$C$20</f>
        <v>3169.872981077805</v>
      </c>
      <c r="D21" s="5">
        <f t="shared" si="0"/>
        <v>5.2359877559829879</v>
      </c>
      <c r="E21" s="3"/>
    </row>
    <row r="22" spans="1:5" x14ac:dyDescent="0.3">
      <c r="A22">
        <v>11</v>
      </c>
      <c r="B22" s="6">
        <f>(COS(D22)*Feuil1!$C$21)+Feuil1!$C$19</f>
        <v>24330.12701892219</v>
      </c>
      <c r="C22" s="6">
        <f>(SIN(D22)*Feuil1!$C$21)+Feuil1!$C$20</f>
        <v>4999.9999999999982</v>
      </c>
      <c r="D22" s="5">
        <f t="shared" si="0"/>
        <v>5.7595865315812871</v>
      </c>
      <c r="E22" s="3"/>
    </row>
    <row r="23" spans="1:5" x14ac:dyDescent="0.3">
      <c r="A23">
        <v>12</v>
      </c>
      <c r="B23" s="6">
        <f>(COS(D23)*Feuil1!$C$21)+Feuil1!$C$19</f>
        <v>25000</v>
      </c>
      <c r="C23" s="6">
        <f>(SIN(D23)*Feuil1!$C$21)+Feuil1!$C$20</f>
        <v>7499.9999999999991</v>
      </c>
      <c r="D23" s="5">
        <f t="shared" si="0"/>
        <v>6.2831853071795862</v>
      </c>
      <c r="E23" s="3"/>
    </row>
    <row r="25" spans="1:5" ht="15.6" x14ac:dyDescent="0.3">
      <c r="A25" s="23" t="s">
        <v>7</v>
      </c>
      <c r="B25" s="24"/>
      <c r="C25" s="24"/>
      <c r="D25" s="25"/>
    </row>
    <row r="26" spans="1:5" x14ac:dyDescent="0.3">
      <c r="A26" t="s">
        <v>40</v>
      </c>
      <c r="B26" t="s">
        <v>37</v>
      </c>
      <c r="C26" t="s">
        <v>38</v>
      </c>
      <c r="D26" t="s">
        <v>41</v>
      </c>
    </row>
    <row r="27" spans="1:5" x14ac:dyDescent="0.3">
      <c r="A27">
        <v>0</v>
      </c>
      <c r="B27" s="6">
        <f>COS(D27)*Feuil1!$F$21+Feuil1!$F$19</f>
        <v>-16500</v>
      </c>
      <c r="C27" s="6">
        <f>SIN(D27)*Feuil1!$F$21+Feuil1!$F$20</f>
        <v>10000</v>
      </c>
      <c r="D27" s="3">
        <f>((2*PI())/12)*A27</f>
        <v>0</v>
      </c>
    </row>
    <row r="28" spans="1:5" x14ac:dyDescent="0.3">
      <c r="A28">
        <v>1</v>
      </c>
      <c r="B28" s="6">
        <f>COS(D28)*Feuil1!$F$21+Feuil1!$F$19</f>
        <v>-16968.911086754466</v>
      </c>
      <c r="C28" s="6">
        <f>SIN(D28)*Feuil1!$F$21+Feuil1!$F$20</f>
        <v>11750</v>
      </c>
      <c r="D28" s="3">
        <f>((2*PI())/12)*A28</f>
        <v>0.52359877559829882</v>
      </c>
    </row>
    <row r="29" spans="1:5" x14ac:dyDescent="0.3">
      <c r="A29">
        <v>2</v>
      </c>
      <c r="B29" s="6">
        <f>COS(D29)*Feuil1!$F$21+Feuil1!$F$19</f>
        <v>-18250</v>
      </c>
      <c r="C29" s="6">
        <f>SIN(D29)*Feuil1!$F$21+Feuil1!$F$20</f>
        <v>13031.088913245534</v>
      </c>
      <c r="D29" s="3">
        <f t="shared" ref="D29:D39" si="1">((2*PI())/12)*A29</f>
        <v>1.0471975511965976</v>
      </c>
    </row>
    <row r="30" spans="1:5" x14ac:dyDescent="0.3">
      <c r="A30">
        <v>3</v>
      </c>
      <c r="B30" s="6">
        <f>COS(D30)*Feuil1!$F$21+Feuil1!$F$19</f>
        <v>-20000</v>
      </c>
      <c r="C30" s="6">
        <f>SIN(D30)*Feuil1!$F$21+Feuil1!$F$20</f>
        <v>13500</v>
      </c>
      <c r="D30" s="3">
        <f t="shared" si="1"/>
        <v>1.5707963267948966</v>
      </c>
    </row>
    <row r="31" spans="1:5" x14ac:dyDescent="0.3">
      <c r="A31">
        <v>4</v>
      </c>
      <c r="B31" s="6">
        <f>COS(D31)*Feuil1!$F$21+Feuil1!$F$19</f>
        <v>-21750</v>
      </c>
      <c r="C31" s="6">
        <f>SIN(D31)*Feuil1!$F$21+Feuil1!$F$20</f>
        <v>13031.088913245536</v>
      </c>
      <c r="D31" s="3">
        <f t="shared" si="1"/>
        <v>2.0943951023931953</v>
      </c>
    </row>
    <row r="32" spans="1:5" x14ac:dyDescent="0.3">
      <c r="A32">
        <v>5</v>
      </c>
      <c r="B32" s="6">
        <f>COS(D32)*Feuil1!$F$21+Feuil1!$F$19</f>
        <v>-23031.088913245534</v>
      </c>
      <c r="C32" s="6">
        <f>SIN(D32)*Feuil1!$F$21+Feuil1!$F$20</f>
        <v>11750.000000000002</v>
      </c>
      <c r="D32" s="3">
        <f t="shared" si="1"/>
        <v>2.617993877991494</v>
      </c>
    </row>
    <row r="33" spans="1:4" x14ac:dyDescent="0.3">
      <c r="A33">
        <v>6</v>
      </c>
      <c r="B33" s="6">
        <f>COS(D33)*Feuil1!$F$21+Feuil1!$F$19</f>
        <v>-23500</v>
      </c>
      <c r="C33" s="6">
        <f>SIN(D33)*Feuil1!$F$21+Feuil1!$F$20</f>
        <v>10000</v>
      </c>
      <c r="D33" s="3">
        <f t="shared" si="1"/>
        <v>3.1415926535897931</v>
      </c>
    </row>
    <row r="34" spans="1:4" x14ac:dyDescent="0.3">
      <c r="A34">
        <v>7</v>
      </c>
      <c r="B34" s="6">
        <f>COS(D34)*Feuil1!$F$21+Feuil1!$F$19</f>
        <v>-23031.088913245534</v>
      </c>
      <c r="C34" s="6">
        <f>SIN(D34)*Feuil1!$F$21+Feuil1!$F$20</f>
        <v>8250</v>
      </c>
      <c r="D34" s="3">
        <f t="shared" si="1"/>
        <v>3.6651914291880918</v>
      </c>
    </row>
    <row r="35" spans="1:4" x14ac:dyDescent="0.3">
      <c r="A35">
        <v>8</v>
      </c>
      <c r="B35" s="6">
        <f>COS(D35)*Feuil1!$F$21+Feuil1!$F$19</f>
        <v>-21750</v>
      </c>
      <c r="C35" s="6">
        <f>SIN(D35)*Feuil1!$F$21+Feuil1!$F$20</f>
        <v>6968.9110867544659</v>
      </c>
      <c r="D35" s="3">
        <f t="shared" si="1"/>
        <v>4.1887902047863905</v>
      </c>
    </row>
    <row r="36" spans="1:4" x14ac:dyDescent="0.3">
      <c r="A36">
        <v>9</v>
      </c>
      <c r="B36" s="6">
        <f>COS(D36)*Feuil1!$F$21+Feuil1!$F$19</f>
        <v>-20000</v>
      </c>
      <c r="C36" s="6">
        <f>SIN(D36)*Feuil1!$F$21+Feuil1!$F$20</f>
        <v>6500</v>
      </c>
      <c r="D36" s="3">
        <f t="shared" si="1"/>
        <v>4.7123889803846897</v>
      </c>
    </row>
    <row r="37" spans="1:4" x14ac:dyDescent="0.3">
      <c r="A37">
        <v>10</v>
      </c>
      <c r="B37" s="6">
        <f>COS(D37)*Feuil1!$F$21+Feuil1!$F$19</f>
        <v>-18250.000000000004</v>
      </c>
      <c r="C37" s="6">
        <f>SIN(D37)*Feuil1!$F$21+Feuil1!$F$20</f>
        <v>6968.9110867544632</v>
      </c>
      <c r="D37" s="3">
        <f t="shared" si="1"/>
        <v>5.2359877559829879</v>
      </c>
    </row>
    <row r="38" spans="1:4" x14ac:dyDescent="0.3">
      <c r="A38">
        <v>11</v>
      </c>
      <c r="B38" s="6">
        <f>COS(D38)*Feuil1!$F$21+Feuil1!$F$19</f>
        <v>-16968.911086754466</v>
      </c>
      <c r="C38" s="6">
        <f>SIN(D38)*Feuil1!$F$21+Feuil1!$F$20</f>
        <v>8249.9999999999982</v>
      </c>
      <c r="D38" s="3">
        <f t="shared" si="1"/>
        <v>5.7595865315812871</v>
      </c>
    </row>
    <row r="39" spans="1:4" x14ac:dyDescent="0.3">
      <c r="A39">
        <v>12</v>
      </c>
      <c r="B39" s="6">
        <f>COS(D39)*Feuil1!$F$21+Feuil1!$F$19</f>
        <v>-16500</v>
      </c>
      <c r="C39" s="6">
        <f>SIN(D39)*Feuil1!$F$21+Feuil1!$F$20</f>
        <v>10000</v>
      </c>
      <c r="D39" s="3">
        <f t="shared" si="1"/>
        <v>6.2831853071795862</v>
      </c>
    </row>
    <row r="41" spans="1:4" ht="15.6" x14ac:dyDescent="0.3">
      <c r="A41" s="26" t="s">
        <v>8</v>
      </c>
      <c r="B41" s="26"/>
      <c r="C41" s="26"/>
      <c r="D41" s="26"/>
    </row>
    <row r="42" spans="1:4" x14ac:dyDescent="0.3">
      <c r="A42" t="s">
        <v>40</v>
      </c>
      <c r="B42" t="s">
        <v>37</v>
      </c>
      <c r="C42" t="s">
        <v>38</v>
      </c>
      <c r="D42" t="s">
        <v>41</v>
      </c>
    </row>
    <row r="43" spans="1:4" x14ac:dyDescent="0.3">
      <c r="A43">
        <v>0</v>
      </c>
      <c r="B43" s="6">
        <f>COS(Feuil2!D43)*Feuil1!$I$21+Feuil1!$I$19</f>
        <v>0</v>
      </c>
      <c r="C43" s="6">
        <f>SIN(D43)*Feuil1!$I$21+Feuil1!$I$20</f>
        <v>-15000</v>
      </c>
      <c r="D43" s="3">
        <f>((2*PI())/12)*A43</f>
        <v>0</v>
      </c>
    </row>
    <row r="44" spans="1:4" x14ac:dyDescent="0.3">
      <c r="A44">
        <v>1</v>
      </c>
      <c r="B44" s="6">
        <f>COS(Feuil2!D44)*Feuil1!$I$21+Feuil1!$I$19</f>
        <v>-669.8729810778068</v>
      </c>
      <c r="C44" s="6">
        <f>SIN(D44)*Feuil1!$I$21+Feuil1!$I$20</f>
        <v>-12500</v>
      </c>
      <c r="D44" s="3">
        <f t="shared" ref="D44:D55" si="2">((2*PI())/12)*A44</f>
        <v>0.52359877559829882</v>
      </c>
    </row>
    <row r="45" spans="1:4" x14ac:dyDescent="0.3">
      <c r="A45">
        <v>2</v>
      </c>
      <c r="B45" s="6">
        <f>COS(Feuil2!D45)*Feuil1!$I$21+Feuil1!$I$19</f>
        <v>-2499.9999999999995</v>
      </c>
      <c r="C45" s="6">
        <f>SIN(D45)*Feuil1!$I$21+Feuil1!$I$20</f>
        <v>-10669.872981077806</v>
      </c>
      <c r="D45" s="3">
        <f t="shared" si="2"/>
        <v>1.0471975511965976</v>
      </c>
    </row>
    <row r="46" spans="1:4" x14ac:dyDescent="0.3">
      <c r="A46">
        <v>3</v>
      </c>
      <c r="B46" s="6">
        <f>COS(Feuil2!D46)*Feuil1!$I$21+Feuil1!$I$19</f>
        <v>-5000</v>
      </c>
      <c r="C46" s="6">
        <f>SIN(D46)*Feuil1!$I$21+Feuil1!$I$20</f>
        <v>-10000</v>
      </c>
      <c r="D46" s="3">
        <f t="shared" si="2"/>
        <v>1.5707963267948966</v>
      </c>
    </row>
    <row r="47" spans="1:4" x14ac:dyDescent="0.3">
      <c r="A47">
        <v>4</v>
      </c>
      <c r="B47" s="6">
        <f>COS(Feuil2!D47)*Feuil1!$I$21+Feuil1!$I$19</f>
        <v>-7499.9999999999991</v>
      </c>
      <c r="C47" s="6">
        <f>SIN(D47)*Feuil1!$I$21+Feuil1!$I$20</f>
        <v>-10669.872981077806</v>
      </c>
      <c r="D47" s="3">
        <f t="shared" si="2"/>
        <v>2.0943951023931953</v>
      </c>
    </row>
    <row r="48" spans="1:4" x14ac:dyDescent="0.3">
      <c r="A48">
        <v>5</v>
      </c>
      <c r="B48" s="6">
        <f>COS(Feuil2!D48)*Feuil1!$I$21+Feuil1!$I$19</f>
        <v>-9330.1270189221923</v>
      </c>
      <c r="C48" s="6">
        <f>SIN(D48)*Feuil1!$I$21+Feuil1!$I$20</f>
        <v>-12499.999999999998</v>
      </c>
      <c r="D48" s="3">
        <f t="shared" si="2"/>
        <v>2.617993877991494</v>
      </c>
    </row>
    <row r="49" spans="1:4" x14ac:dyDescent="0.3">
      <c r="A49">
        <v>6</v>
      </c>
      <c r="B49" s="6">
        <f>COS(Feuil2!D49)*Feuil1!$I$21+Feuil1!$I$19</f>
        <v>-10000</v>
      </c>
      <c r="C49" s="6">
        <f>SIN(D49)*Feuil1!$I$21+Feuil1!$I$20</f>
        <v>-15000</v>
      </c>
      <c r="D49" s="3">
        <f t="shared" si="2"/>
        <v>3.1415926535897931</v>
      </c>
    </row>
    <row r="50" spans="1:4" x14ac:dyDescent="0.3">
      <c r="A50">
        <v>7</v>
      </c>
      <c r="B50" s="6">
        <f>COS(Feuil2!D50)*Feuil1!$I$21+Feuil1!$I$19</f>
        <v>-9330.1270189221941</v>
      </c>
      <c r="C50" s="6">
        <f>SIN(D50)*Feuil1!$I$21+Feuil1!$I$20</f>
        <v>-17500</v>
      </c>
      <c r="D50" s="3">
        <f t="shared" si="2"/>
        <v>3.6651914291880918</v>
      </c>
    </row>
    <row r="51" spans="1:4" x14ac:dyDescent="0.3">
      <c r="A51">
        <v>8</v>
      </c>
      <c r="B51" s="6">
        <f>COS(Feuil2!D51)*Feuil1!$I$21+Feuil1!$I$19</f>
        <v>-7500.0000000000018</v>
      </c>
      <c r="C51" s="6">
        <f>SIN(D51)*Feuil1!$I$21+Feuil1!$I$20</f>
        <v>-19330.12701892219</v>
      </c>
      <c r="D51" s="3">
        <f t="shared" si="2"/>
        <v>4.1887902047863905</v>
      </c>
    </row>
    <row r="52" spans="1:4" x14ac:dyDescent="0.3">
      <c r="A52">
        <v>9</v>
      </c>
      <c r="B52" s="6">
        <f>COS(Feuil2!D52)*Feuil1!$I$21+Feuil1!$I$19</f>
        <v>-5000.0000000000009</v>
      </c>
      <c r="C52" s="6">
        <f>SIN(D52)*Feuil1!$I$21+Feuil1!$I$20</f>
        <v>-20000</v>
      </c>
      <c r="D52" s="3">
        <f t="shared" si="2"/>
        <v>4.7123889803846897</v>
      </c>
    </row>
    <row r="53" spans="1:4" x14ac:dyDescent="0.3">
      <c r="A53">
        <v>10</v>
      </c>
      <c r="B53" s="6">
        <f>COS(Feuil2!D53)*Feuil1!$I$21+Feuil1!$I$19</f>
        <v>-2500.0000000000032</v>
      </c>
      <c r="C53" s="6">
        <f>SIN(D53)*Feuil1!$I$21+Feuil1!$I$20</f>
        <v>-19330.127018922194</v>
      </c>
      <c r="D53" s="3">
        <f t="shared" si="2"/>
        <v>5.2359877559829879</v>
      </c>
    </row>
    <row r="54" spans="1:4" x14ac:dyDescent="0.3">
      <c r="A54">
        <v>11</v>
      </c>
      <c r="B54" s="6">
        <f>COS(Feuil2!D54)*Feuil1!$I$21+Feuil1!$I$19</f>
        <v>-669.87298107780771</v>
      </c>
      <c r="C54" s="6">
        <f>SIN(D54)*Feuil1!$I$21+Feuil1!$I$20</f>
        <v>-17500.000000000004</v>
      </c>
      <c r="D54" s="3">
        <f t="shared" si="2"/>
        <v>5.7595865315812871</v>
      </c>
    </row>
    <row r="55" spans="1:4" x14ac:dyDescent="0.3">
      <c r="A55">
        <v>12</v>
      </c>
      <c r="B55" s="6">
        <f>COS(Feuil2!D55)*Feuil1!$I$21+Feuil1!$I$19</f>
        <v>0</v>
      </c>
      <c r="C55" s="6">
        <f>SIN(D55)*Feuil1!$I$21+Feuil1!$I$20</f>
        <v>-15000.000000000002</v>
      </c>
      <c r="D55" s="3">
        <f t="shared" si="2"/>
        <v>6.2831853071795862</v>
      </c>
    </row>
  </sheetData>
  <mergeCells count="4">
    <mergeCell ref="A1:C1"/>
    <mergeCell ref="A9:D9"/>
    <mergeCell ref="A25:D25"/>
    <mergeCell ref="A41:D4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 altText="Commencer">
                <anchor moveWithCells="1" sizeWithCells="1">
                  <from>
                    <xdr:col>8</xdr:col>
                    <xdr:colOff>144780</xdr:colOff>
                    <xdr:row>5</xdr:row>
                    <xdr:rowOff>76200</xdr:rowOff>
                  </from>
                  <to>
                    <xdr:col>10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2022-03-30T22:03:14Z</dcterms:modified>
</cp:coreProperties>
</file>